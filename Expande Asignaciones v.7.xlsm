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0520" windowHeight="9615" activeTab="1"/>
  </bookViews>
  <sheets>
    <sheet name="Semana 3" sheetId="4" r:id="rId1"/>
    <sheet name="Sorteo" sheetId="1" r:id="rId2"/>
  </sheets>
  <functionGroups builtInGroupCount="17"/>
  <definedNames>
    <definedName name="solver_adj" localSheetId="1" hidden="1">Sorteo!$C$2:$F$6</definedName>
    <definedName name="solver_cvg" localSheetId="1" hidden="1">0.0001</definedName>
    <definedName name="solver_drv" localSheetId="1" hidden="1">2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Sorteo!$C$58:$F$58</definedName>
    <definedName name="solver_lhs2" localSheetId="1" hidden="1">Sorteo!#REF!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Sorteo!#REF!</definedName>
    <definedName name="solver_pre" localSheetId="1" hidden="1">0.000001</definedName>
    <definedName name="solver_rbv" localSheetId="1" hidden="1">2</definedName>
    <definedName name="solver_rel1" localSheetId="1" hidden="1">1</definedName>
    <definedName name="solver_rel2" localSheetId="1" hidden="1">2</definedName>
    <definedName name="solver_rhs1" localSheetId="1" hidden="1">Sorteo!$C$56:$F$56</definedName>
    <definedName name="solver_rhs2" localSheetId="1" hidden="1">Sorteo!$G$2:$G$55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7" i="1" l="1"/>
  <c r="I57" i="1" l="1"/>
  <c r="J57" i="1"/>
  <c r="K57" i="1"/>
  <c r="D57" i="1" l="1"/>
  <c r="E57" i="1"/>
  <c r="F57" i="1"/>
  <c r="C57" i="1"/>
</calcChain>
</file>

<file path=xl/sharedStrings.xml><?xml version="1.0" encoding="utf-8"?>
<sst xmlns="http://schemas.openxmlformats.org/spreadsheetml/2006/main" count="315" uniqueCount="80">
  <si>
    <t>CU</t>
  </si>
  <si>
    <t>Nombre</t>
  </si>
  <si>
    <t>Sillas Amarillas</t>
  </si>
  <si>
    <t>Toldo Rojo</t>
  </si>
  <si>
    <t>Tia Choli</t>
  </si>
  <si>
    <t>Buen Cafe</t>
  </si>
  <si>
    <t>Total Desayunos</t>
  </si>
  <si>
    <t>Sillas Amarillas2</t>
  </si>
  <si>
    <t>Toldo Rojo3</t>
  </si>
  <si>
    <t>Tia Choli4</t>
  </si>
  <si>
    <t>Buen Cafe5</t>
  </si>
  <si>
    <t>Total Comidas</t>
  </si>
  <si>
    <t>Cristian Michelle Alvarez Flores</t>
  </si>
  <si>
    <t>Erika Preciado Guillén</t>
  </si>
  <si>
    <t>Daniel Flores Hernández</t>
  </si>
  <si>
    <t>Andrea Iturbe Hernández</t>
  </si>
  <si>
    <t>Mario Enrique Carranza Barragán</t>
  </si>
  <si>
    <t>Karina Estefanía Negrete Macías</t>
  </si>
  <si>
    <t>Miguel Ángel Juárez Orozco</t>
  </si>
  <si>
    <t>Amellalli Reyes Báez</t>
  </si>
  <si>
    <t>Mario Cesar Estrada Gutierrez</t>
  </si>
  <si>
    <t>José Murguía Fuentes</t>
  </si>
  <si>
    <t>David Ignacio Montaño López</t>
  </si>
  <si>
    <t>Diego Axel Jimenez Sedas</t>
  </si>
  <si>
    <t>Alejandro Olivera Vázquez</t>
  </si>
  <si>
    <t>Teresa Ruiz Rivera</t>
  </si>
  <si>
    <t>Cecilia Judith Vasquez Pérez</t>
  </si>
  <si>
    <t>Karla García Mora</t>
  </si>
  <si>
    <t>Alma Belén Prado Torres</t>
  </si>
  <si>
    <t>Alberto Enrique Albarrán Acuña</t>
  </si>
  <si>
    <t xml:space="preserve">Emmanuel Garcés Gutiérrez </t>
  </si>
  <si>
    <t>Jessica Anahí Tinajero Lobera</t>
  </si>
  <si>
    <t>Luis Eduardo Robles Montaño</t>
  </si>
  <si>
    <t>Diana Laura Arce Morales</t>
  </si>
  <si>
    <t xml:space="preserve">Pamela Flores Iberri </t>
  </si>
  <si>
    <t>Rodrigo Alexis Reyna Franco</t>
  </si>
  <si>
    <t>Emilio Rodríguez Mora</t>
  </si>
  <si>
    <t>Mario Adrian Ruiz Galeana</t>
  </si>
  <si>
    <t>Brenda Itzel Alcántara Flores</t>
  </si>
  <si>
    <t>Miranda Cristina Armenta Schulenburg</t>
  </si>
  <si>
    <t>Josué Aarón Briseño Ramírez</t>
  </si>
  <si>
    <t>Brandon Francisco Hernández Troncoso</t>
  </si>
  <si>
    <t>Omar Gómez García</t>
  </si>
  <si>
    <t>Mileva Chambi Gutiérrez</t>
  </si>
  <si>
    <t>Amina Begoña Matus Almeida</t>
  </si>
  <si>
    <t>Diego Edgar Zuñiga Blassio</t>
  </si>
  <si>
    <t>Emma Leticia Cárdenas González</t>
  </si>
  <si>
    <t>Harvey Emiliano Valencia Lona</t>
  </si>
  <si>
    <t>Daniel Santiago López Ruiz</t>
  </si>
  <si>
    <t>Karina Patricia Vázquez Delgado</t>
  </si>
  <si>
    <t>Elvia Isabel Silva Manzano</t>
  </si>
  <si>
    <t>Zyanya Castro Morales</t>
  </si>
  <si>
    <t>Alberto Acosta Lopez</t>
  </si>
  <si>
    <t>Alan Yave Cortés Juárez</t>
  </si>
  <si>
    <t>Diego Hernández Castro</t>
  </si>
  <si>
    <t>Emmanuel Alejandro Gil Acevedo</t>
  </si>
  <si>
    <t>Luis Alfonso Jimenez Quevedo</t>
  </si>
  <si>
    <t>Osmar Alejandro Ariza Alcaraz</t>
  </si>
  <si>
    <t>Alexander Raymond Rubio</t>
  </si>
  <si>
    <t>Camila Andrea Luna Rosales</t>
  </si>
  <si>
    <t>Samaria Entrala Velázquez</t>
  </si>
  <si>
    <t>Eduardo Diego Martínez Mejía</t>
  </si>
  <si>
    <t>Hillary López Santillán</t>
  </si>
  <si>
    <t>César Adrián Mendoza Sandoval</t>
  </si>
  <si>
    <t>Francisco Antonio Calvillo López</t>
  </si>
  <si>
    <t>José de Jesús Emiliano Ramírez López</t>
  </si>
  <si>
    <t>Restricciones</t>
  </si>
  <si>
    <t>Suma de combinación</t>
  </si>
  <si>
    <t>Datos cambiables</t>
  </si>
  <si>
    <t>Resultados de última solución</t>
  </si>
  <si>
    <r>
      <t xml:space="preserve">Semana </t>
    </r>
    <r>
      <rPr>
        <b/>
        <sz val="18"/>
        <color theme="0"/>
        <rFont val="Calibri"/>
        <family val="2"/>
        <scheme val="minor"/>
      </rPr>
      <t>del</t>
    </r>
    <r>
      <rPr>
        <b/>
        <sz val="16"/>
        <color theme="0"/>
        <rFont val="Calibri"/>
        <family val="2"/>
        <scheme val="minor"/>
      </rPr>
      <t xml:space="preserve"> reporte</t>
    </r>
  </si>
  <si>
    <t>Desayunos</t>
  </si>
  <si>
    <t>Comidas</t>
  </si>
  <si>
    <t>Total Des.</t>
  </si>
  <si>
    <t>Total Com.</t>
  </si>
  <si>
    <t>lunes</t>
  </si>
  <si>
    <t>martes</t>
  </si>
  <si>
    <t>miércoles</t>
  </si>
  <si>
    <t>jueves</t>
  </si>
  <si>
    <t>viernes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</si>
</sst>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2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9EAD3"/>
        <bgColor rgb="FFD9EAD3"/>
      </patternFill>
    </fill>
    <fill>
      <patternFill patternType="solid">
        <fgColor rgb="FFCFE2F3"/>
        <bgColor rgb="FFCFE2F3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6" fillId="7" borderId="0" applyNumberFormat="0" applyBorder="0" applyAlignment="0" applyProtection="0"/>
    <xf numFmtId="0" fontId="8" fillId="8" borderId="0" applyNumberFormat="0" applyBorder="0" applyAlignment="0" applyProtection="0"/>
  </cellStyleXfs>
  <cellXfs count="30">
    <xf numFmtId="0" fontId="0" fillId="0" borderId="0" xfId="0"/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3" fontId="1" fillId="2" borderId="3" xfId="0" applyNumberFormat="1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Fill="1" applyBorder="1" applyAlignment="1"/>
    <xf numFmtId="0" fontId="0" fillId="9" borderId="4" xfId="0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0" borderId="0" xfId="0" applyFont="1"/>
    <xf numFmtId="0" fontId="0" fillId="9" borderId="4" xfId="0" applyFill="1" applyBorder="1" applyAlignment="1"/>
    <xf numFmtId="0" fontId="6" fillId="7" borderId="4" xfId="3" applyBorder="1" applyAlignment="1"/>
    <xf numFmtId="0" fontId="10" fillId="8" borderId="8" xfId="4" applyFont="1" applyBorder="1" applyAlignment="1">
      <alignment horizontal="center" vertical="center"/>
    </xf>
    <xf numFmtId="0" fontId="7" fillId="5" borderId="2" xfId="1" applyFont="1" applyBorder="1" applyAlignment="1">
      <alignment vertical="center"/>
    </xf>
    <xf numFmtId="0" fontId="7" fillId="5" borderId="5" xfId="1" applyFont="1" applyBorder="1" applyAlignment="1">
      <alignment vertical="center"/>
    </xf>
    <xf numFmtId="0" fontId="10" fillId="8" borderId="6" xfId="4" applyFont="1" applyBorder="1" applyAlignment="1">
      <alignment horizontal="center" vertical="center"/>
    </xf>
    <xf numFmtId="0" fontId="10" fillId="8" borderId="7" xfId="4" applyFont="1" applyBorder="1" applyAlignment="1">
      <alignment horizontal="center" vertical="center"/>
    </xf>
    <xf numFmtId="0" fontId="5" fillId="6" borderId="4" xfId="2" applyFont="1" applyBorder="1" applyAlignment="1"/>
    <xf numFmtId="0" fontId="7" fillId="5" borderId="4" xfId="1" applyFont="1" applyBorder="1" applyAlignment="1"/>
    <xf numFmtId="0" fontId="12" fillId="10" borderId="9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11" xfId="0" applyFont="1" applyFill="1" applyBorder="1" applyAlignment="1">
      <alignment horizontal="center" vertical="center"/>
    </xf>
    <xf numFmtId="0" fontId="12" fillId="10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5">
    <cellStyle name="Buena" xfId="1" builtinId="26"/>
    <cellStyle name="Énfasis1" xfId="4" builtinId="29"/>
    <cellStyle name="Incorrecto" xfId="2" builtinId="27"/>
    <cellStyle name="Neutral" xfId="3" builtinId="28"/>
    <cellStyle name="Normal" xfId="0" builtinId="0"/>
  </cellStyles>
  <dxfs count="15">
    <dxf>
      <fill>
        <patternFill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CFE2F3"/>
          <bgColor rgb="FFCFE2F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476250</xdr:colOff>
          <xdr:row>4</xdr:row>
          <xdr:rowOff>161925</xdr:rowOff>
        </xdr:from>
        <xdr:to>
          <xdr:col>19</xdr:col>
          <xdr:colOff>257175</xdr:colOff>
          <xdr:row>21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24</xdr:row>
          <xdr:rowOff>142875</xdr:rowOff>
        </xdr:from>
        <xdr:to>
          <xdr:col>19</xdr:col>
          <xdr:colOff>257175</xdr:colOff>
          <xdr:row>41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2" displayName="Table2" ref="A1:L55" totalsRowShown="0" headerRowDxfId="14" dataDxfId="13" tableBorderDxfId="12">
  <autoFilter ref="A1:L55"/>
  <tableColumns count="12">
    <tableColumn id="1" name="CU" dataDxfId="11"/>
    <tableColumn id="2" name="Nombre" dataDxfId="10"/>
    <tableColumn id="3" name="Sillas Amarillas" dataDxfId="9"/>
    <tableColumn id="4" name="Toldo Rojo" dataDxfId="8"/>
    <tableColumn id="5" name="Tia Choli" dataDxfId="7"/>
    <tableColumn id="6" name="Buen Cafe" dataDxfId="6"/>
    <tableColumn id="7" name="Total Desayunos" dataDxfId="5"/>
    <tableColumn id="8" name="Sillas Amarillas2" dataDxfId="4"/>
    <tableColumn id="9" name="Toldo Rojo3" dataDxfId="3"/>
    <tableColumn id="10" name="Tia Choli4" dataDxfId="2"/>
    <tableColumn id="11" name="Buen Cafe5" dataDxfId="1"/>
    <tableColumn id="12" name="Total Comidas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80"/>
  <sheetViews>
    <sheetView zoomScale="70" zoomScaleNormal="70" workbookViewId="0">
      <selection activeCell="H4" sqref="H4"/>
    </sheetView>
  </sheetViews>
  <sheetFormatPr baseColWidth="10" defaultRowHeight="15" x14ac:dyDescent="0.25"/>
  <cols>
    <col min="2" max="2" width="45.7109375" customWidth="1"/>
    <col min="10" max="10" width="45.7109375" customWidth="1"/>
    <col min="19" max="19" width="45.7109375" customWidth="1"/>
    <col min="27" max="27" width="45.7109375" customWidth="1"/>
    <col min="36" max="36" width="45.7109375" customWidth="1"/>
    <col min="44" max="44" width="45.7109375" customWidth="1"/>
    <col min="53" max="53" width="45.7109375" customWidth="1"/>
    <col min="61" max="61" width="45.7109375" customWidth="1"/>
  </cols>
  <sheetData>
    <row r="1" spans="1:67" x14ac:dyDescent="0.25">
      <c r="A1" s="24" t="s">
        <v>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R1" s="24" t="s">
        <v>3</v>
      </c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6"/>
      <c r="AI1" s="24" t="s">
        <v>4</v>
      </c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6"/>
      <c r="AZ1" s="24" t="s">
        <v>5</v>
      </c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6"/>
    </row>
    <row r="2" spans="1:67" x14ac:dyDescent="0.25">
      <c r="A2" s="24" t="s">
        <v>71</v>
      </c>
      <c r="B2" s="25"/>
      <c r="C2" s="25"/>
      <c r="D2" s="25"/>
      <c r="E2" s="25"/>
      <c r="F2" s="25"/>
      <c r="G2" s="25"/>
      <c r="H2" s="26"/>
      <c r="I2" s="24" t="s">
        <v>72</v>
      </c>
      <c r="J2" s="25"/>
      <c r="K2" s="25"/>
      <c r="L2" s="25"/>
      <c r="M2" s="25"/>
      <c r="N2" s="25"/>
      <c r="O2" s="25"/>
      <c r="P2" s="26"/>
      <c r="R2" s="24" t="s">
        <v>71</v>
      </c>
      <c r="S2" s="25"/>
      <c r="T2" s="25"/>
      <c r="U2" s="25"/>
      <c r="V2" s="25"/>
      <c r="W2" s="25"/>
      <c r="X2" s="25"/>
      <c r="Y2" s="26"/>
      <c r="Z2" s="24" t="s">
        <v>72</v>
      </c>
      <c r="AA2" s="25"/>
      <c r="AB2" s="25"/>
      <c r="AC2" s="25"/>
      <c r="AD2" s="25"/>
      <c r="AE2" s="25"/>
      <c r="AF2" s="25"/>
      <c r="AG2" s="26"/>
      <c r="AI2" s="24" t="s">
        <v>71</v>
      </c>
      <c r="AJ2" s="25"/>
      <c r="AK2" s="25"/>
      <c r="AL2" s="25"/>
      <c r="AM2" s="25"/>
      <c r="AN2" s="25"/>
      <c r="AO2" s="25"/>
      <c r="AP2" s="26"/>
      <c r="AQ2" s="24" t="s">
        <v>72</v>
      </c>
      <c r="AR2" s="25"/>
      <c r="AS2" s="25"/>
      <c r="AT2" s="25"/>
      <c r="AU2" s="25"/>
      <c r="AV2" s="25"/>
      <c r="AW2" s="25"/>
      <c r="AX2" s="26"/>
      <c r="AZ2" s="24" t="s">
        <v>71</v>
      </c>
      <c r="BA2" s="25"/>
      <c r="BB2" s="25"/>
      <c r="BC2" s="25"/>
      <c r="BD2" s="25"/>
      <c r="BE2" s="25"/>
      <c r="BF2" s="25"/>
      <c r="BG2" s="26"/>
      <c r="BH2" s="24" t="s">
        <v>72</v>
      </c>
      <c r="BI2" s="25"/>
      <c r="BJ2" s="25"/>
      <c r="BK2" s="25"/>
      <c r="BL2" s="25"/>
      <c r="BM2" s="25"/>
      <c r="BN2" s="25"/>
      <c r="BO2" s="26"/>
    </row>
    <row r="3" spans="1:67" x14ac:dyDescent="0.25">
      <c r="A3" s="27" t="s">
        <v>0</v>
      </c>
      <c r="B3" s="27" t="s">
        <v>1</v>
      </c>
      <c r="C3" s="27" t="s">
        <v>75</v>
      </c>
      <c r="D3" s="27" t="s">
        <v>76</v>
      </c>
      <c r="E3" s="27" t="s">
        <v>77</v>
      </c>
      <c r="F3" s="27" t="s">
        <v>78</v>
      </c>
      <c r="G3" s="27" t="s">
        <v>79</v>
      </c>
      <c r="H3" s="27" t="s">
        <v>73</v>
      </c>
      <c r="I3" s="27" t="s">
        <v>0</v>
      </c>
      <c r="J3" s="27" t="s">
        <v>1</v>
      </c>
      <c r="K3" s="27" t="s">
        <v>75</v>
      </c>
      <c r="L3" s="27" t="s">
        <v>76</v>
      </c>
      <c r="M3" s="27" t="s">
        <v>77</v>
      </c>
      <c r="N3" s="27" t="s">
        <v>78</v>
      </c>
      <c r="O3" s="27" t="s">
        <v>79</v>
      </c>
      <c r="P3" s="27" t="s">
        <v>74</v>
      </c>
      <c r="R3" s="27" t="s">
        <v>0</v>
      </c>
      <c r="S3" s="27" t="s">
        <v>1</v>
      </c>
      <c r="T3" s="27" t="s">
        <v>75</v>
      </c>
      <c r="U3" s="27" t="s">
        <v>76</v>
      </c>
      <c r="V3" s="27" t="s">
        <v>77</v>
      </c>
      <c r="W3" s="27" t="s">
        <v>78</v>
      </c>
      <c r="X3" s="27" t="s">
        <v>79</v>
      </c>
      <c r="Y3" s="27" t="s">
        <v>73</v>
      </c>
      <c r="Z3" s="27" t="s">
        <v>0</v>
      </c>
      <c r="AA3" s="27" t="s">
        <v>1</v>
      </c>
      <c r="AB3" s="27" t="s">
        <v>75</v>
      </c>
      <c r="AC3" s="27" t="s">
        <v>76</v>
      </c>
      <c r="AD3" s="27" t="s">
        <v>77</v>
      </c>
      <c r="AE3" s="27" t="s">
        <v>78</v>
      </c>
      <c r="AF3" s="27" t="s">
        <v>79</v>
      </c>
      <c r="AG3" s="27" t="s">
        <v>74</v>
      </c>
      <c r="AI3" s="27" t="s">
        <v>0</v>
      </c>
      <c r="AJ3" s="27" t="s">
        <v>1</v>
      </c>
      <c r="AK3" s="27" t="s">
        <v>75</v>
      </c>
      <c r="AL3" s="27" t="s">
        <v>76</v>
      </c>
      <c r="AM3" s="27" t="s">
        <v>77</v>
      </c>
      <c r="AN3" s="27" t="s">
        <v>78</v>
      </c>
      <c r="AO3" s="27" t="s">
        <v>79</v>
      </c>
      <c r="AP3" s="27" t="s">
        <v>73</v>
      </c>
      <c r="AQ3" s="27" t="s">
        <v>0</v>
      </c>
      <c r="AR3" s="27" t="s">
        <v>1</v>
      </c>
      <c r="AS3" s="27" t="s">
        <v>75</v>
      </c>
      <c r="AT3" s="27" t="s">
        <v>76</v>
      </c>
      <c r="AU3" s="27" t="s">
        <v>77</v>
      </c>
      <c r="AV3" s="27" t="s">
        <v>78</v>
      </c>
      <c r="AW3" s="27" t="s">
        <v>79</v>
      </c>
      <c r="AX3" s="27" t="s">
        <v>74</v>
      </c>
      <c r="AZ3" s="27" t="s">
        <v>0</v>
      </c>
      <c r="BA3" s="27" t="s">
        <v>1</v>
      </c>
      <c r="BB3" s="27" t="s">
        <v>75</v>
      </c>
      <c r="BC3" s="27" t="s">
        <v>76</v>
      </c>
      <c r="BD3" s="27" t="s">
        <v>77</v>
      </c>
      <c r="BE3" s="27" t="s">
        <v>78</v>
      </c>
      <c r="BF3" s="27" t="s">
        <v>79</v>
      </c>
      <c r="BG3" s="27" t="s">
        <v>73</v>
      </c>
      <c r="BH3" s="27" t="s">
        <v>0</v>
      </c>
      <c r="BI3" s="27" t="s">
        <v>1</v>
      </c>
      <c r="BJ3" s="27" t="s">
        <v>75</v>
      </c>
      <c r="BK3" s="27" t="s">
        <v>76</v>
      </c>
      <c r="BL3" s="27" t="s">
        <v>77</v>
      </c>
      <c r="BM3" s="27" t="s">
        <v>78</v>
      </c>
      <c r="BN3" s="27" t="s">
        <v>79</v>
      </c>
      <c r="BO3" s="27" t="s">
        <v>74</v>
      </c>
    </row>
    <row r="4" spans="1:67" x14ac:dyDescent="0.25">
      <c r="A4" s="29">
        <v>132858</v>
      </c>
      <c r="B4" s="29" t="s">
        <v>12</v>
      </c>
      <c r="C4" s="29"/>
      <c r="D4" s="29"/>
      <c r="E4" s="29"/>
      <c r="F4" s="29"/>
      <c r="G4" s="29"/>
      <c r="H4" s="29">
        <v>1</v>
      </c>
      <c r="I4" s="29">
        <v>135293</v>
      </c>
      <c r="J4" s="29" t="s">
        <v>13</v>
      </c>
      <c r="K4" s="29"/>
      <c r="L4" s="29"/>
      <c r="M4" s="29"/>
      <c r="N4" s="29"/>
      <c r="O4" s="29"/>
      <c r="P4" s="29">
        <v>1</v>
      </c>
      <c r="R4" s="29">
        <v>144204</v>
      </c>
      <c r="S4" s="29" t="s">
        <v>19</v>
      </c>
      <c r="T4" s="29"/>
      <c r="U4" s="29"/>
      <c r="V4" s="29"/>
      <c r="W4" s="29"/>
      <c r="X4" s="29"/>
      <c r="Y4" s="29">
        <v>1</v>
      </c>
      <c r="Z4" s="29">
        <v>132858</v>
      </c>
      <c r="AA4" s="29" t="s">
        <v>12</v>
      </c>
      <c r="AB4" s="29"/>
      <c r="AC4" s="29"/>
      <c r="AD4" s="29"/>
      <c r="AE4" s="29"/>
      <c r="AF4" s="29"/>
      <c r="AG4" s="29">
        <v>1</v>
      </c>
      <c r="AI4" s="29">
        <v>132858</v>
      </c>
      <c r="AJ4" s="29" t="s">
        <v>12</v>
      </c>
      <c r="AK4" s="29"/>
      <c r="AL4" s="29"/>
      <c r="AM4" s="29"/>
      <c r="AN4" s="29"/>
      <c r="AO4" s="29"/>
      <c r="AP4" s="29">
        <v>1</v>
      </c>
      <c r="AQ4" s="29">
        <v>142565</v>
      </c>
      <c r="AR4" s="29" t="s">
        <v>15</v>
      </c>
      <c r="AS4" s="29"/>
      <c r="AT4" s="29"/>
      <c r="AU4" s="29"/>
      <c r="AV4" s="29"/>
      <c r="AW4" s="29"/>
      <c r="AX4" s="29">
        <v>1</v>
      </c>
      <c r="AZ4" s="29">
        <v>143194</v>
      </c>
      <c r="BA4" s="29" t="s">
        <v>18</v>
      </c>
      <c r="BB4" s="29"/>
      <c r="BC4" s="29"/>
      <c r="BD4" s="29"/>
      <c r="BE4" s="29"/>
      <c r="BF4" s="29"/>
      <c r="BG4" s="29">
        <v>1</v>
      </c>
      <c r="BH4" s="29">
        <v>132858</v>
      </c>
      <c r="BI4" s="29" t="s">
        <v>12</v>
      </c>
      <c r="BJ4" s="29"/>
      <c r="BK4" s="29"/>
      <c r="BL4" s="29"/>
      <c r="BM4" s="29"/>
      <c r="BN4" s="29"/>
      <c r="BO4" s="29">
        <v>1</v>
      </c>
    </row>
    <row r="5" spans="1:67" x14ac:dyDescent="0.25">
      <c r="A5" s="29">
        <v>151675</v>
      </c>
      <c r="B5" s="29" t="s">
        <v>31</v>
      </c>
      <c r="C5" s="29"/>
      <c r="D5" s="29"/>
      <c r="E5" s="29"/>
      <c r="F5" s="29"/>
      <c r="G5" s="29"/>
      <c r="H5" s="29">
        <v>1</v>
      </c>
      <c r="I5" s="29">
        <v>136072</v>
      </c>
      <c r="J5" s="29" t="s">
        <v>14</v>
      </c>
      <c r="K5" s="29"/>
      <c r="L5" s="29"/>
      <c r="M5" s="29"/>
      <c r="N5" s="29"/>
      <c r="O5" s="29"/>
      <c r="P5" s="29">
        <v>1</v>
      </c>
      <c r="R5" s="29">
        <v>150482</v>
      </c>
      <c r="S5" s="29" t="s">
        <v>26</v>
      </c>
      <c r="T5" s="29"/>
      <c r="U5" s="29"/>
      <c r="V5" s="29"/>
      <c r="W5" s="29"/>
      <c r="X5" s="29"/>
      <c r="Y5" s="29">
        <v>1</v>
      </c>
      <c r="Z5" s="29">
        <v>135293</v>
      </c>
      <c r="AA5" s="29" t="s">
        <v>13</v>
      </c>
      <c r="AB5" s="29"/>
      <c r="AC5" s="29"/>
      <c r="AD5" s="29"/>
      <c r="AE5" s="29"/>
      <c r="AF5" s="29"/>
      <c r="AG5" s="29">
        <v>1</v>
      </c>
      <c r="AI5" s="29">
        <v>143194</v>
      </c>
      <c r="AJ5" s="29" t="s">
        <v>18</v>
      </c>
      <c r="AK5" s="29"/>
      <c r="AL5" s="29"/>
      <c r="AM5" s="29"/>
      <c r="AN5" s="29"/>
      <c r="AO5" s="29"/>
      <c r="AP5" s="29">
        <v>1</v>
      </c>
      <c r="AQ5" s="29">
        <v>142949</v>
      </c>
      <c r="AR5" s="29" t="s">
        <v>16</v>
      </c>
      <c r="AS5" s="29"/>
      <c r="AT5" s="29"/>
      <c r="AU5" s="29"/>
      <c r="AV5" s="29"/>
      <c r="AW5" s="29"/>
      <c r="AX5" s="29">
        <v>1</v>
      </c>
      <c r="AZ5" s="29">
        <v>148561</v>
      </c>
      <c r="BA5" s="29" t="s">
        <v>24</v>
      </c>
      <c r="BB5" s="29"/>
      <c r="BC5" s="29"/>
      <c r="BD5" s="29"/>
      <c r="BE5" s="29"/>
      <c r="BF5" s="29"/>
      <c r="BG5" s="29">
        <v>1</v>
      </c>
      <c r="BH5" s="29">
        <v>135293</v>
      </c>
      <c r="BI5" s="29" t="s">
        <v>13</v>
      </c>
      <c r="BJ5" s="29"/>
      <c r="BK5" s="29"/>
      <c r="BL5" s="29"/>
      <c r="BM5" s="29"/>
      <c r="BN5" s="29"/>
      <c r="BO5" s="29">
        <v>1</v>
      </c>
    </row>
    <row r="6" spans="1:67" x14ac:dyDescent="0.25">
      <c r="A6" s="29">
        <v>153135</v>
      </c>
      <c r="B6" s="29" t="s">
        <v>39</v>
      </c>
      <c r="C6" s="29"/>
      <c r="D6" s="29"/>
      <c r="E6" s="29"/>
      <c r="F6" s="29"/>
      <c r="G6" s="29"/>
      <c r="H6" s="29">
        <v>1</v>
      </c>
      <c r="I6" s="29">
        <v>142565</v>
      </c>
      <c r="J6" s="29" t="s">
        <v>15</v>
      </c>
      <c r="K6" s="29"/>
      <c r="L6" s="29"/>
      <c r="M6" s="29"/>
      <c r="N6" s="29"/>
      <c r="O6" s="29"/>
      <c r="P6" s="29">
        <v>1</v>
      </c>
      <c r="R6" s="29">
        <v>150640</v>
      </c>
      <c r="S6" s="29" t="s">
        <v>27</v>
      </c>
      <c r="T6" s="29"/>
      <c r="U6" s="29"/>
      <c r="V6" s="29"/>
      <c r="W6" s="29"/>
      <c r="X6" s="29"/>
      <c r="Y6" s="29">
        <v>1</v>
      </c>
      <c r="Z6" s="29">
        <v>136072</v>
      </c>
      <c r="AA6" s="29" t="s">
        <v>14</v>
      </c>
      <c r="AB6" s="29"/>
      <c r="AC6" s="29"/>
      <c r="AD6" s="29"/>
      <c r="AE6" s="29"/>
      <c r="AF6" s="29"/>
      <c r="AG6" s="29">
        <v>1</v>
      </c>
      <c r="AI6" s="29">
        <v>150640</v>
      </c>
      <c r="AJ6" s="29" t="s">
        <v>27</v>
      </c>
      <c r="AK6" s="29"/>
      <c r="AL6" s="29"/>
      <c r="AM6" s="29"/>
      <c r="AN6" s="29"/>
      <c r="AO6" s="29"/>
      <c r="AP6" s="29">
        <v>1</v>
      </c>
      <c r="AQ6" s="29">
        <v>142958</v>
      </c>
      <c r="AR6" s="29" t="s">
        <v>17</v>
      </c>
      <c r="AS6" s="29"/>
      <c r="AT6" s="29"/>
      <c r="AU6" s="29"/>
      <c r="AV6" s="29"/>
      <c r="AW6" s="29"/>
      <c r="AX6" s="29">
        <v>1</v>
      </c>
      <c r="AZ6" s="29">
        <v>150482</v>
      </c>
      <c r="BA6" s="29" t="s">
        <v>26</v>
      </c>
      <c r="BB6" s="29"/>
      <c r="BC6" s="29"/>
      <c r="BD6" s="29"/>
      <c r="BE6" s="29"/>
      <c r="BF6" s="29"/>
      <c r="BG6" s="29">
        <v>1</v>
      </c>
      <c r="BH6" s="29">
        <v>136072</v>
      </c>
      <c r="BI6" s="29" t="s">
        <v>14</v>
      </c>
      <c r="BJ6" s="29"/>
      <c r="BK6" s="29"/>
      <c r="BL6" s="29"/>
      <c r="BM6" s="29"/>
      <c r="BN6" s="29"/>
      <c r="BO6" s="29">
        <v>1</v>
      </c>
    </row>
    <row r="7" spans="1:67" x14ac:dyDescent="0.25">
      <c r="A7" s="29">
        <v>153552</v>
      </c>
      <c r="B7" s="29" t="s">
        <v>40</v>
      </c>
      <c r="C7" s="29"/>
      <c r="D7" s="29"/>
      <c r="E7" s="29"/>
      <c r="F7" s="29"/>
      <c r="G7" s="29"/>
      <c r="H7" s="29">
        <v>1</v>
      </c>
      <c r="I7" s="29">
        <v>142949</v>
      </c>
      <c r="J7" s="29" t="s">
        <v>16</v>
      </c>
      <c r="K7" s="29"/>
      <c r="L7" s="29"/>
      <c r="M7" s="29"/>
      <c r="N7" s="29"/>
      <c r="O7" s="29"/>
      <c r="P7" s="29">
        <v>1</v>
      </c>
      <c r="R7" s="29">
        <v>153033</v>
      </c>
      <c r="S7" s="29" t="s">
        <v>38</v>
      </c>
      <c r="T7" s="29"/>
      <c r="U7" s="29"/>
      <c r="V7" s="29"/>
      <c r="W7" s="29"/>
      <c r="X7" s="29"/>
      <c r="Y7" s="29">
        <v>1</v>
      </c>
      <c r="Z7" s="29">
        <v>142958</v>
      </c>
      <c r="AA7" s="29" t="s">
        <v>17</v>
      </c>
      <c r="AB7" s="29"/>
      <c r="AC7" s="29"/>
      <c r="AD7" s="29"/>
      <c r="AE7" s="29"/>
      <c r="AF7" s="29"/>
      <c r="AG7" s="29">
        <v>1</v>
      </c>
      <c r="AI7" s="29">
        <v>155890</v>
      </c>
      <c r="AJ7" s="29" t="s">
        <v>45</v>
      </c>
      <c r="AK7" s="29"/>
      <c r="AL7" s="29"/>
      <c r="AM7" s="29"/>
      <c r="AN7" s="29"/>
      <c r="AO7" s="29"/>
      <c r="AP7" s="29">
        <v>1</v>
      </c>
      <c r="AQ7" s="29">
        <v>143194</v>
      </c>
      <c r="AR7" s="29" t="s">
        <v>18</v>
      </c>
      <c r="AS7" s="29"/>
      <c r="AT7" s="29"/>
      <c r="AU7" s="29"/>
      <c r="AV7" s="29"/>
      <c r="AW7" s="29"/>
      <c r="AX7" s="29">
        <v>1</v>
      </c>
      <c r="AZ7" s="29">
        <v>151675</v>
      </c>
      <c r="BA7" s="29" t="s">
        <v>31</v>
      </c>
      <c r="BB7" s="29"/>
      <c r="BC7" s="29"/>
      <c r="BD7" s="29"/>
      <c r="BE7" s="29"/>
      <c r="BF7" s="29"/>
      <c r="BG7" s="29">
        <v>1</v>
      </c>
      <c r="BH7" s="29">
        <v>142565</v>
      </c>
      <c r="BI7" s="29" t="s">
        <v>15</v>
      </c>
      <c r="BJ7" s="29"/>
      <c r="BK7" s="29"/>
      <c r="BL7" s="29"/>
      <c r="BM7" s="29"/>
      <c r="BN7" s="29"/>
      <c r="BO7" s="29">
        <v>1</v>
      </c>
    </row>
    <row r="8" spans="1:67" x14ac:dyDescent="0.25">
      <c r="A8" s="29">
        <v>157803</v>
      </c>
      <c r="B8" s="29" t="s">
        <v>51</v>
      </c>
      <c r="C8" s="29"/>
      <c r="D8" s="29"/>
      <c r="E8" s="29"/>
      <c r="F8" s="29"/>
      <c r="G8" s="29"/>
      <c r="H8" s="29">
        <v>1</v>
      </c>
      <c r="I8" s="29">
        <v>143194</v>
      </c>
      <c r="J8" s="29" t="s">
        <v>18</v>
      </c>
      <c r="K8" s="29"/>
      <c r="L8" s="29"/>
      <c r="M8" s="29"/>
      <c r="N8" s="29"/>
      <c r="O8" s="29"/>
      <c r="P8" s="29">
        <v>1</v>
      </c>
      <c r="R8" s="29">
        <v>153135</v>
      </c>
      <c r="S8" s="29" t="s">
        <v>39</v>
      </c>
      <c r="T8" s="29"/>
      <c r="U8" s="29"/>
      <c r="V8" s="29"/>
      <c r="W8" s="29"/>
      <c r="X8" s="29"/>
      <c r="Y8" s="29">
        <v>1</v>
      </c>
      <c r="Z8" s="29">
        <v>146162</v>
      </c>
      <c r="AA8" s="29" t="s">
        <v>22</v>
      </c>
      <c r="AB8" s="29"/>
      <c r="AC8" s="29"/>
      <c r="AD8" s="29"/>
      <c r="AE8" s="29"/>
      <c r="AF8" s="29"/>
      <c r="AG8" s="29">
        <v>1</v>
      </c>
      <c r="AI8" s="29">
        <v>157803</v>
      </c>
      <c r="AJ8" s="29" t="s">
        <v>51</v>
      </c>
      <c r="AK8" s="29"/>
      <c r="AL8" s="29"/>
      <c r="AM8" s="29"/>
      <c r="AN8" s="29"/>
      <c r="AO8" s="29"/>
      <c r="AP8" s="29">
        <v>1</v>
      </c>
      <c r="AQ8" s="29">
        <v>144281</v>
      </c>
      <c r="AR8" s="29" t="s">
        <v>20</v>
      </c>
      <c r="AS8" s="29"/>
      <c r="AT8" s="29"/>
      <c r="AU8" s="29"/>
      <c r="AV8" s="29"/>
      <c r="AW8" s="29"/>
      <c r="AX8" s="29">
        <v>1</v>
      </c>
      <c r="AZ8" s="29">
        <v>151694</v>
      </c>
      <c r="BA8" s="29" t="s">
        <v>32</v>
      </c>
      <c r="BB8" s="29"/>
      <c r="BC8" s="29"/>
      <c r="BD8" s="29"/>
      <c r="BE8" s="29"/>
      <c r="BF8" s="29"/>
      <c r="BG8" s="29">
        <v>1</v>
      </c>
      <c r="BH8" s="29">
        <v>142949</v>
      </c>
      <c r="BI8" s="29" t="s">
        <v>16</v>
      </c>
      <c r="BJ8" s="29"/>
      <c r="BK8" s="29"/>
      <c r="BL8" s="29"/>
      <c r="BM8" s="29"/>
      <c r="BN8" s="29"/>
      <c r="BO8" s="29">
        <v>1</v>
      </c>
    </row>
    <row r="9" spans="1:67" x14ac:dyDescent="0.25">
      <c r="A9" s="29">
        <v>158160</v>
      </c>
      <c r="B9" s="29" t="s">
        <v>52</v>
      </c>
      <c r="C9" s="29"/>
      <c r="D9" s="29"/>
      <c r="E9" s="29"/>
      <c r="F9" s="29"/>
      <c r="G9" s="29"/>
      <c r="H9" s="29">
        <v>1</v>
      </c>
      <c r="I9" s="29">
        <v>144204</v>
      </c>
      <c r="J9" s="29" t="s">
        <v>19</v>
      </c>
      <c r="K9" s="29"/>
      <c r="L9" s="29"/>
      <c r="M9" s="29"/>
      <c r="N9" s="29"/>
      <c r="O9" s="29"/>
      <c r="P9" s="29">
        <v>1</v>
      </c>
      <c r="R9" s="29">
        <v>153552</v>
      </c>
      <c r="S9" s="29" t="s">
        <v>40</v>
      </c>
      <c r="T9" s="29"/>
      <c r="U9" s="29"/>
      <c r="V9" s="29"/>
      <c r="W9" s="29"/>
      <c r="X9" s="29"/>
      <c r="Y9" s="29">
        <v>1</v>
      </c>
      <c r="Z9" s="29">
        <v>147384</v>
      </c>
      <c r="AA9" s="29" t="s">
        <v>23</v>
      </c>
      <c r="AB9" s="29"/>
      <c r="AC9" s="29"/>
      <c r="AD9" s="29"/>
      <c r="AE9" s="29"/>
      <c r="AF9" s="29"/>
      <c r="AG9" s="29">
        <v>1</v>
      </c>
      <c r="AI9" s="29">
        <v>158160</v>
      </c>
      <c r="AJ9" s="29" t="s">
        <v>52</v>
      </c>
      <c r="AK9" s="29"/>
      <c r="AL9" s="29"/>
      <c r="AM9" s="29"/>
      <c r="AN9" s="29"/>
      <c r="AO9" s="29"/>
      <c r="AP9" s="29">
        <v>1</v>
      </c>
      <c r="AQ9" s="29">
        <v>144794</v>
      </c>
      <c r="AR9" s="29" t="s">
        <v>21</v>
      </c>
      <c r="AS9" s="29"/>
      <c r="AT9" s="29"/>
      <c r="AU9" s="29"/>
      <c r="AV9" s="29"/>
      <c r="AW9" s="29"/>
      <c r="AX9" s="29">
        <v>1</v>
      </c>
      <c r="AZ9" s="29">
        <v>158275</v>
      </c>
      <c r="BA9" s="29" t="s">
        <v>53</v>
      </c>
      <c r="BB9" s="29"/>
      <c r="BC9" s="29"/>
      <c r="BD9" s="29"/>
      <c r="BE9" s="29"/>
      <c r="BF9" s="29"/>
      <c r="BG9" s="29">
        <v>1</v>
      </c>
      <c r="BH9" s="29">
        <v>143194</v>
      </c>
      <c r="BI9" s="29" t="s">
        <v>18</v>
      </c>
      <c r="BJ9" s="29"/>
      <c r="BK9" s="29"/>
      <c r="BL9" s="29"/>
      <c r="BM9" s="29"/>
      <c r="BN9" s="29"/>
      <c r="BO9" s="29">
        <v>1</v>
      </c>
    </row>
    <row r="10" spans="1:67" x14ac:dyDescent="0.25">
      <c r="A10" s="29">
        <v>160006</v>
      </c>
      <c r="B10" s="29" t="s">
        <v>55</v>
      </c>
      <c r="C10" s="29"/>
      <c r="D10" s="29"/>
      <c r="E10" s="29"/>
      <c r="F10" s="29"/>
      <c r="G10" s="29"/>
      <c r="H10" s="29">
        <v>1</v>
      </c>
      <c r="I10" s="29">
        <v>144281</v>
      </c>
      <c r="J10" s="29" t="s">
        <v>20</v>
      </c>
      <c r="K10" s="29"/>
      <c r="L10" s="29"/>
      <c r="M10" s="29"/>
      <c r="N10" s="29"/>
      <c r="O10" s="29"/>
      <c r="P10" s="29">
        <v>2</v>
      </c>
      <c r="R10" s="29">
        <v>157540</v>
      </c>
      <c r="S10" s="29" t="s">
        <v>49</v>
      </c>
      <c r="T10" s="29"/>
      <c r="U10" s="29"/>
      <c r="V10" s="29"/>
      <c r="W10" s="29"/>
      <c r="X10" s="29"/>
      <c r="Y10" s="29">
        <v>1</v>
      </c>
      <c r="Z10" s="29">
        <v>148561</v>
      </c>
      <c r="AA10" s="29" t="s">
        <v>24</v>
      </c>
      <c r="AB10" s="29"/>
      <c r="AC10" s="29"/>
      <c r="AD10" s="29"/>
      <c r="AE10" s="29"/>
      <c r="AF10" s="29"/>
      <c r="AG10" s="29">
        <v>1</v>
      </c>
      <c r="AI10" s="29"/>
      <c r="AJ10" s="29"/>
      <c r="AK10" s="29"/>
      <c r="AL10" s="29"/>
      <c r="AM10" s="29"/>
      <c r="AN10" s="29"/>
      <c r="AO10" s="29"/>
      <c r="AP10" s="29"/>
      <c r="AQ10" s="29">
        <v>146162</v>
      </c>
      <c r="AR10" s="29" t="s">
        <v>22</v>
      </c>
      <c r="AS10" s="29"/>
      <c r="AT10" s="29"/>
      <c r="AU10" s="29"/>
      <c r="AV10" s="29"/>
      <c r="AW10" s="29"/>
      <c r="AX10" s="29">
        <v>1</v>
      </c>
      <c r="AZ10" s="29">
        <v>160006</v>
      </c>
      <c r="BA10" s="29" t="s">
        <v>55</v>
      </c>
      <c r="BB10" s="29"/>
      <c r="BC10" s="29"/>
      <c r="BD10" s="29"/>
      <c r="BE10" s="29"/>
      <c r="BF10" s="29"/>
      <c r="BG10" s="29">
        <v>1</v>
      </c>
      <c r="BH10" s="29">
        <v>144204</v>
      </c>
      <c r="BI10" s="29" t="s">
        <v>19</v>
      </c>
      <c r="BJ10" s="29"/>
      <c r="BK10" s="29"/>
      <c r="BL10" s="29"/>
      <c r="BM10" s="29"/>
      <c r="BN10" s="29"/>
      <c r="BO10" s="29">
        <v>1</v>
      </c>
    </row>
    <row r="11" spans="1:67" x14ac:dyDescent="0.25">
      <c r="A11" s="29"/>
      <c r="B11" s="29"/>
      <c r="C11" s="29"/>
      <c r="D11" s="29"/>
      <c r="E11" s="29"/>
      <c r="F11" s="29"/>
      <c r="G11" s="29"/>
      <c r="H11" s="29"/>
      <c r="I11" s="29">
        <v>144794</v>
      </c>
      <c r="J11" s="29" t="s">
        <v>21</v>
      </c>
      <c r="K11" s="29"/>
      <c r="L11" s="29"/>
      <c r="M11" s="29"/>
      <c r="N11" s="29"/>
      <c r="O11" s="29"/>
      <c r="P11" s="29">
        <v>1</v>
      </c>
      <c r="R11" s="29"/>
      <c r="S11" s="29"/>
      <c r="T11" s="29"/>
      <c r="U11" s="29"/>
      <c r="V11" s="29"/>
      <c r="W11" s="29"/>
      <c r="X11" s="29"/>
      <c r="Y11" s="29"/>
      <c r="Z11" s="29">
        <v>149827</v>
      </c>
      <c r="AA11" s="29" t="s">
        <v>25</v>
      </c>
      <c r="AB11" s="29"/>
      <c r="AC11" s="29"/>
      <c r="AD11" s="29"/>
      <c r="AE11" s="29"/>
      <c r="AF11" s="29"/>
      <c r="AG11" s="29">
        <v>1</v>
      </c>
      <c r="AI11" s="29"/>
      <c r="AJ11" s="29"/>
      <c r="AK11" s="29"/>
      <c r="AL11" s="29"/>
      <c r="AM11" s="29"/>
      <c r="AN11" s="29"/>
      <c r="AO11" s="29"/>
      <c r="AP11" s="29"/>
      <c r="AQ11" s="29">
        <v>148561</v>
      </c>
      <c r="AR11" s="29" t="s">
        <v>24</v>
      </c>
      <c r="AS11" s="29"/>
      <c r="AT11" s="29"/>
      <c r="AU11" s="29"/>
      <c r="AV11" s="29"/>
      <c r="AW11" s="29"/>
      <c r="AX11" s="29">
        <v>1</v>
      </c>
      <c r="AZ11" s="29"/>
      <c r="BA11" s="29"/>
      <c r="BB11" s="29"/>
      <c r="BC11" s="29"/>
      <c r="BD11" s="29"/>
      <c r="BE11" s="29"/>
      <c r="BF11" s="29"/>
      <c r="BG11" s="29"/>
      <c r="BH11" s="29">
        <v>144281</v>
      </c>
      <c r="BI11" s="29" t="s">
        <v>20</v>
      </c>
      <c r="BJ11" s="29"/>
      <c r="BK11" s="29"/>
      <c r="BL11" s="29"/>
      <c r="BM11" s="29"/>
      <c r="BN11" s="29"/>
      <c r="BO11" s="29">
        <v>2</v>
      </c>
    </row>
    <row r="12" spans="1:67" x14ac:dyDescent="0.25">
      <c r="A12" s="29"/>
      <c r="B12" s="29"/>
      <c r="C12" s="29"/>
      <c r="D12" s="29"/>
      <c r="E12" s="29"/>
      <c r="F12" s="29"/>
      <c r="G12" s="29"/>
      <c r="H12" s="29"/>
      <c r="I12" s="29">
        <v>146162</v>
      </c>
      <c r="J12" s="29" t="s">
        <v>22</v>
      </c>
      <c r="K12" s="29"/>
      <c r="L12" s="29"/>
      <c r="M12" s="29"/>
      <c r="N12" s="29"/>
      <c r="O12" s="29"/>
      <c r="P12" s="29">
        <v>1</v>
      </c>
      <c r="R12" s="29"/>
      <c r="S12" s="29"/>
      <c r="T12" s="29"/>
      <c r="U12" s="29"/>
      <c r="V12" s="29"/>
      <c r="W12" s="29"/>
      <c r="X12" s="29"/>
      <c r="Y12" s="29"/>
      <c r="Z12" s="29">
        <v>150640</v>
      </c>
      <c r="AA12" s="29" t="s">
        <v>27</v>
      </c>
      <c r="AB12" s="29"/>
      <c r="AC12" s="29"/>
      <c r="AD12" s="29"/>
      <c r="AE12" s="29"/>
      <c r="AF12" s="29"/>
      <c r="AG12" s="29">
        <v>1</v>
      </c>
      <c r="AI12" s="29"/>
      <c r="AJ12" s="29"/>
      <c r="AK12" s="29"/>
      <c r="AL12" s="29"/>
      <c r="AM12" s="29"/>
      <c r="AN12" s="29"/>
      <c r="AO12" s="29"/>
      <c r="AP12" s="29"/>
      <c r="AQ12" s="29">
        <v>149827</v>
      </c>
      <c r="AR12" s="29" t="s">
        <v>25</v>
      </c>
      <c r="AS12" s="29"/>
      <c r="AT12" s="29"/>
      <c r="AU12" s="29"/>
      <c r="AV12" s="29"/>
      <c r="AW12" s="29"/>
      <c r="AX12" s="29">
        <v>1</v>
      </c>
      <c r="AZ12" s="29"/>
      <c r="BA12" s="29"/>
      <c r="BB12" s="29"/>
      <c r="BC12" s="29"/>
      <c r="BD12" s="29"/>
      <c r="BE12" s="29"/>
      <c r="BF12" s="29"/>
      <c r="BG12" s="29"/>
      <c r="BH12" s="29">
        <v>146162</v>
      </c>
      <c r="BI12" s="29" t="s">
        <v>22</v>
      </c>
      <c r="BJ12" s="29"/>
      <c r="BK12" s="29"/>
      <c r="BL12" s="29"/>
      <c r="BM12" s="29"/>
      <c r="BN12" s="29"/>
      <c r="BO12" s="29">
        <v>1</v>
      </c>
    </row>
    <row r="13" spans="1:67" x14ac:dyDescent="0.25">
      <c r="A13" s="29"/>
      <c r="B13" s="29"/>
      <c r="C13" s="29"/>
      <c r="D13" s="29"/>
      <c r="E13" s="29"/>
      <c r="F13" s="29"/>
      <c r="G13" s="29"/>
      <c r="H13" s="29"/>
      <c r="I13" s="29">
        <v>147384</v>
      </c>
      <c r="J13" s="29" t="s">
        <v>23</v>
      </c>
      <c r="K13" s="29"/>
      <c r="L13" s="29"/>
      <c r="M13" s="29"/>
      <c r="N13" s="29"/>
      <c r="O13" s="29"/>
      <c r="P13" s="29">
        <v>1</v>
      </c>
      <c r="R13" s="29"/>
      <c r="S13" s="29"/>
      <c r="T13" s="29"/>
      <c r="U13" s="29"/>
      <c r="V13" s="29"/>
      <c r="W13" s="29"/>
      <c r="X13" s="29"/>
      <c r="Y13" s="29"/>
      <c r="Z13" s="29">
        <v>150908</v>
      </c>
      <c r="AA13" s="29" t="s">
        <v>29</v>
      </c>
      <c r="AB13" s="29"/>
      <c r="AC13" s="29"/>
      <c r="AD13" s="29"/>
      <c r="AE13" s="29"/>
      <c r="AF13" s="29"/>
      <c r="AG13" s="29">
        <v>1</v>
      </c>
      <c r="AI13" s="29"/>
      <c r="AJ13" s="29"/>
      <c r="AK13" s="29"/>
      <c r="AL13" s="29"/>
      <c r="AM13" s="29"/>
      <c r="AN13" s="29"/>
      <c r="AO13" s="29"/>
      <c r="AP13" s="29"/>
      <c r="AQ13" s="29">
        <v>150482</v>
      </c>
      <c r="AR13" s="29" t="s">
        <v>26</v>
      </c>
      <c r="AS13" s="29"/>
      <c r="AT13" s="29"/>
      <c r="AU13" s="29"/>
      <c r="AV13" s="29"/>
      <c r="AW13" s="29"/>
      <c r="AX13" s="29">
        <v>1</v>
      </c>
      <c r="AZ13" s="29"/>
      <c r="BA13" s="29"/>
      <c r="BB13" s="29"/>
      <c r="BC13" s="29"/>
      <c r="BD13" s="29"/>
      <c r="BE13" s="29"/>
      <c r="BF13" s="29"/>
      <c r="BG13" s="29"/>
      <c r="BH13" s="29">
        <v>148561</v>
      </c>
      <c r="BI13" s="29" t="s">
        <v>24</v>
      </c>
      <c r="BJ13" s="29"/>
      <c r="BK13" s="29"/>
      <c r="BL13" s="29"/>
      <c r="BM13" s="29"/>
      <c r="BN13" s="29"/>
      <c r="BO13" s="29">
        <v>1</v>
      </c>
    </row>
    <row r="14" spans="1:67" x14ac:dyDescent="0.25">
      <c r="A14" s="29"/>
      <c r="B14" s="29"/>
      <c r="C14" s="29"/>
      <c r="D14" s="29"/>
      <c r="E14" s="29"/>
      <c r="F14" s="29"/>
      <c r="G14" s="29"/>
      <c r="H14" s="29"/>
      <c r="I14" s="29">
        <v>148561</v>
      </c>
      <c r="J14" s="29" t="s">
        <v>24</v>
      </c>
      <c r="K14" s="29"/>
      <c r="L14" s="29"/>
      <c r="M14" s="29"/>
      <c r="N14" s="29"/>
      <c r="O14" s="29"/>
      <c r="P14" s="29">
        <v>1</v>
      </c>
      <c r="R14" s="29"/>
      <c r="S14" s="29"/>
      <c r="T14" s="29"/>
      <c r="U14" s="29"/>
      <c r="V14" s="29"/>
      <c r="W14" s="29"/>
      <c r="X14" s="29"/>
      <c r="Y14" s="29"/>
      <c r="Z14" s="29">
        <v>151675</v>
      </c>
      <c r="AA14" s="29" t="s">
        <v>31</v>
      </c>
      <c r="AB14" s="29"/>
      <c r="AC14" s="29"/>
      <c r="AD14" s="29"/>
      <c r="AE14" s="29"/>
      <c r="AF14" s="29"/>
      <c r="AG14" s="29">
        <v>1</v>
      </c>
      <c r="AI14" s="29"/>
      <c r="AJ14" s="29"/>
      <c r="AK14" s="29"/>
      <c r="AL14" s="29"/>
      <c r="AM14" s="29"/>
      <c r="AN14" s="29"/>
      <c r="AO14" s="29"/>
      <c r="AP14" s="29"/>
      <c r="AQ14" s="29">
        <v>150908</v>
      </c>
      <c r="AR14" s="29" t="s">
        <v>29</v>
      </c>
      <c r="AS14" s="29"/>
      <c r="AT14" s="29"/>
      <c r="AU14" s="29"/>
      <c r="AV14" s="29"/>
      <c r="AW14" s="29"/>
      <c r="AX14" s="29">
        <v>1</v>
      </c>
      <c r="AZ14" s="29"/>
      <c r="BA14" s="29"/>
      <c r="BB14" s="29"/>
      <c r="BC14" s="29"/>
      <c r="BD14" s="29"/>
      <c r="BE14" s="29"/>
      <c r="BF14" s="29"/>
      <c r="BG14" s="29"/>
      <c r="BH14" s="29">
        <v>150482</v>
      </c>
      <c r="BI14" s="29" t="s">
        <v>26</v>
      </c>
      <c r="BJ14" s="29"/>
      <c r="BK14" s="29"/>
      <c r="BL14" s="29"/>
      <c r="BM14" s="29"/>
      <c r="BN14" s="29"/>
      <c r="BO14" s="29">
        <v>1</v>
      </c>
    </row>
    <row r="15" spans="1:67" x14ac:dyDescent="0.25">
      <c r="A15" s="29"/>
      <c r="B15" s="29"/>
      <c r="C15" s="29"/>
      <c r="D15" s="29"/>
      <c r="E15" s="29"/>
      <c r="F15" s="29"/>
      <c r="G15" s="29"/>
      <c r="H15" s="29"/>
      <c r="I15" s="29">
        <v>150640</v>
      </c>
      <c r="J15" s="29" t="s">
        <v>27</v>
      </c>
      <c r="K15" s="29"/>
      <c r="L15" s="29"/>
      <c r="M15" s="29"/>
      <c r="N15" s="29"/>
      <c r="O15" s="29"/>
      <c r="P15" s="29">
        <v>1</v>
      </c>
      <c r="R15" s="29"/>
      <c r="S15" s="29"/>
      <c r="T15" s="29"/>
      <c r="U15" s="29"/>
      <c r="V15" s="29"/>
      <c r="W15" s="29"/>
      <c r="X15" s="29"/>
      <c r="Y15" s="29"/>
      <c r="Z15" s="29">
        <v>151725</v>
      </c>
      <c r="AA15" s="29" t="s">
        <v>33</v>
      </c>
      <c r="AB15" s="29"/>
      <c r="AC15" s="29"/>
      <c r="AD15" s="29"/>
      <c r="AE15" s="29"/>
      <c r="AF15" s="29"/>
      <c r="AG15" s="29">
        <v>1</v>
      </c>
      <c r="AI15" s="29"/>
      <c r="AJ15" s="29"/>
      <c r="AK15" s="29"/>
      <c r="AL15" s="29"/>
      <c r="AM15" s="29"/>
      <c r="AN15" s="29"/>
      <c r="AO15" s="29"/>
      <c r="AP15" s="29"/>
      <c r="AQ15" s="29">
        <v>151362</v>
      </c>
      <c r="AR15" s="29" t="s">
        <v>30</v>
      </c>
      <c r="AS15" s="29"/>
      <c r="AT15" s="29"/>
      <c r="AU15" s="29"/>
      <c r="AV15" s="29"/>
      <c r="AW15" s="29"/>
      <c r="AX15" s="29">
        <v>1</v>
      </c>
      <c r="AZ15" s="29"/>
      <c r="BA15" s="29"/>
      <c r="BB15" s="29"/>
      <c r="BC15" s="29"/>
      <c r="BD15" s="29"/>
      <c r="BE15" s="29"/>
      <c r="BF15" s="29"/>
      <c r="BG15" s="29"/>
      <c r="BH15" s="29">
        <v>150903</v>
      </c>
      <c r="BI15" s="29" t="s">
        <v>28</v>
      </c>
      <c r="BJ15" s="29"/>
      <c r="BK15" s="29"/>
      <c r="BL15" s="29"/>
      <c r="BM15" s="29"/>
      <c r="BN15" s="29"/>
      <c r="BO15" s="29">
        <v>1</v>
      </c>
    </row>
    <row r="16" spans="1:67" x14ac:dyDescent="0.25">
      <c r="A16" s="29"/>
      <c r="B16" s="29"/>
      <c r="C16" s="29"/>
      <c r="D16" s="29"/>
      <c r="E16" s="29"/>
      <c r="F16" s="29"/>
      <c r="G16" s="29"/>
      <c r="H16" s="29"/>
      <c r="I16" s="29">
        <v>150903</v>
      </c>
      <c r="J16" s="29" t="s">
        <v>28</v>
      </c>
      <c r="K16" s="29"/>
      <c r="L16" s="29"/>
      <c r="M16" s="29"/>
      <c r="N16" s="29"/>
      <c r="O16" s="29"/>
      <c r="P16" s="29">
        <v>1</v>
      </c>
      <c r="R16" s="29"/>
      <c r="S16" s="29"/>
      <c r="T16" s="29"/>
      <c r="U16" s="29"/>
      <c r="V16" s="29"/>
      <c r="W16" s="29"/>
      <c r="X16" s="29"/>
      <c r="Y16" s="29"/>
      <c r="Z16" s="29">
        <v>151750</v>
      </c>
      <c r="AA16" s="29" t="s">
        <v>34</v>
      </c>
      <c r="AB16" s="29"/>
      <c r="AC16" s="29"/>
      <c r="AD16" s="29"/>
      <c r="AE16" s="29"/>
      <c r="AF16" s="29"/>
      <c r="AG16" s="29">
        <v>1</v>
      </c>
      <c r="AI16" s="29"/>
      <c r="AJ16" s="29"/>
      <c r="AK16" s="29"/>
      <c r="AL16" s="29"/>
      <c r="AM16" s="29"/>
      <c r="AN16" s="29"/>
      <c r="AO16" s="29"/>
      <c r="AP16" s="29"/>
      <c r="AQ16" s="29">
        <v>151675</v>
      </c>
      <c r="AR16" s="29" t="s">
        <v>31</v>
      </c>
      <c r="AS16" s="29"/>
      <c r="AT16" s="29"/>
      <c r="AU16" s="29"/>
      <c r="AV16" s="29"/>
      <c r="AW16" s="29"/>
      <c r="AX16" s="29">
        <v>1</v>
      </c>
      <c r="AZ16" s="29"/>
      <c r="BA16" s="29"/>
      <c r="BB16" s="29"/>
      <c r="BC16" s="29"/>
      <c r="BD16" s="29"/>
      <c r="BE16" s="29"/>
      <c r="BF16" s="29"/>
      <c r="BG16" s="29"/>
      <c r="BH16" s="29">
        <v>150908</v>
      </c>
      <c r="BI16" s="29" t="s">
        <v>29</v>
      </c>
      <c r="BJ16" s="29"/>
      <c r="BK16" s="29"/>
      <c r="BL16" s="29"/>
      <c r="BM16" s="29"/>
      <c r="BN16" s="29"/>
      <c r="BO16" s="29">
        <v>1</v>
      </c>
    </row>
    <row r="17" spans="1:67" x14ac:dyDescent="0.25">
      <c r="A17" s="29"/>
      <c r="B17" s="29"/>
      <c r="C17" s="29"/>
      <c r="D17" s="29"/>
      <c r="E17" s="29"/>
      <c r="F17" s="29"/>
      <c r="G17" s="29"/>
      <c r="H17" s="29"/>
      <c r="I17" s="29">
        <v>150908</v>
      </c>
      <c r="J17" s="29" t="s">
        <v>29</v>
      </c>
      <c r="K17" s="29"/>
      <c r="L17" s="29"/>
      <c r="M17" s="29"/>
      <c r="N17" s="29"/>
      <c r="O17" s="29"/>
      <c r="P17" s="29">
        <v>1</v>
      </c>
      <c r="R17" s="29"/>
      <c r="S17" s="29"/>
      <c r="T17" s="29"/>
      <c r="U17" s="29"/>
      <c r="V17" s="29"/>
      <c r="W17" s="29"/>
      <c r="X17" s="29"/>
      <c r="Y17" s="29"/>
      <c r="Z17" s="29">
        <v>151775</v>
      </c>
      <c r="AA17" s="29" t="s">
        <v>35</v>
      </c>
      <c r="AB17" s="29"/>
      <c r="AC17" s="29"/>
      <c r="AD17" s="29"/>
      <c r="AE17" s="29"/>
      <c r="AF17" s="29"/>
      <c r="AG17" s="29">
        <v>1</v>
      </c>
      <c r="AI17" s="29"/>
      <c r="AJ17" s="29"/>
      <c r="AK17" s="29"/>
      <c r="AL17" s="29"/>
      <c r="AM17" s="29"/>
      <c r="AN17" s="29"/>
      <c r="AO17" s="29"/>
      <c r="AP17" s="29"/>
      <c r="AQ17" s="29">
        <v>151750</v>
      </c>
      <c r="AR17" s="29" t="s">
        <v>34</v>
      </c>
      <c r="AS17" s="29"/>
      <c r="AT17" s="29"/>
      <c r="AU17" s="29"/>
      <c r="AV17" s="29"/>
      <c r="AW17" s="29"/>
      <c r="AX17" s="29">
        <v>1</v>
      </c>
      <c r="AZ17" s="29"/>
      <c r="BA17" s="29"/>
      <c r="BB17" s="29"/>
      <c r="BC17" s="29"/>
      <c r="BD17" s="29"/>
      <c r="BE17" s="29"/>
      <c r="BF17" s="29"/>
      <c r="BG17" s="29"/>
      <c r="BH17" s="29">
        <v>151675</v>
      </c>
      <c r="BI17" s="29" t="s">
        <v>31</v>
      </c>
      <c r="BJ17" s="29"/>
      <c r="BK17" s="29"/>
      <c r="BL17" s="29"/>
      <c r="BM17" s="29"/>
      <c r="BN17" s="29"/>
      <c r="BO17" s="29">
        <v>1</v>
      </c>
    </row>
    <row r="18" spans="1:67" x14ac:dyDescent="0.25">
      <c r="A18" s="29"/>
      <c r="B18" s="29"/>
      <c r="C18" s="29"/>
      <c r="D18" s="29"/>
      <c r="E18" s="29"/>
      <c r="F18" s="29"/>
      <c r="G18" s="29"/>
      <c r="H18" s="29"/>
      <c r="I18" s="29">
        <v>151362</v>
      </c>
      <c r="J18" s="29" t="s">
        <v>30</v>
      </c>
      <c r="K18" s="29"/>
      <c r="L18" s="29"/>
      <c r="M18" s="29"/>
      <c r="N18" s="29"/>
      <c r="O18" s="29"/>
      <c r="P18" s="29">
        <v>1</v>
      </c>
      <c r="R18" s="29"/>
      <c r="S18" s="29"/>
      <c r="T18" s="29"/>
      <c r="U18" s="29"/>
      <c r="V18" s="29"/>
      <c r="W18" s="29"/>
      <c r="X18" s="29"/>
      <c r="Y18" s="29"/>
      <c r="Z18" s="29">
        <v>151944</v>
      </c>
      <c r="AA18" s="29" t="s">
        <v>36</v>
      </c>
      <c r="AB18" s="29"/>
      <c r="AC18" s="29"/>
      <c r="AD18" s="29"/>
      <c r="AE18" s="29"/>
      <c r="AF18" s="29"/>
      <c r="AG18" s="29">
        <v>1</v>
      </c>
      <c r="AI18" s="29"/>
      <c r="AJ18" s="29"/>
      <c r="AK18" s="29"/>
      <c r="AL18" s="29"/>
      <c r="AM18" s="29"/>
      <c r="AN18" s="29"/>
      <c r="AO18" s="29"/>
      <c r="AP18" s="29"/>
      <c r="AQ18" s="29">
        <v>151775</v>
      </c>
      <c r="AR18" s="29" t="s">
        <v>35</v>
      </c>
      <c r="AS18" s="29"/>
      <c r="AT18" s="29"/>
      <c r="AU18" s="29"/>
      <c r="AV18" s="29"/>
      <c r="AW18" s="29"/>
      <c r="AX18" s="29">
        <v>1</v>
      </c>
      <c r="AZ18" s="29"/>
      <c r="BA18" s="29"/>
      <c r="BB18" s="29"/>
      <c r="BC18" s="29"/>
      <c r="BD18" s="29"/>
      <c r="BE18" s="29"/>
      <c r="BF18" s="29"/>
      <c r="BG18" s="29"/>
      <c r="BH18" s="29">
        <v>151694</v>
      </c>
      <c r="BI18" s="29" t="s">
        <v>32</v>
      </c>
      <c r="BJ18" s="29"/>
      <c r="BK18" s="29"/>
      <c r="BL18" s="29"/>
      <c r="BM18" s="29"/>
      <c r="BN18" s="29"/>
      <c r="BO18" s="29">
        <v>1</v>
      </c>
    </row>
    <row r="19" spans="1:67" x14ac:dyDescent="0.25">
      <c r="A19" s="29"/>
      <c r="B19" s="29"/>
      <c r="C19" s="29"/>
      <c r="D19" s="29"/>
      <c r="E19" s="29"/>
      <c r="F19" s="29"/>
      <c r="G19" s="29"/>
      <c r="H19" s="29"/>
      <c r="I19" s="29">
        <v>151750</v>
      </c>
      <c r="J19" s="29" t="s">
        <v>34</v>
      </c>
      <c r="K19" s="29"/>
      <c r="L19" s="29"/>
      <c r="M19" s="29"/>
      <c r="N19" s="29"/>
      <c r="O19" s="29"/>
      <c r="P19" s="29">
        <v>1</v>
      </c>
      <c r="R19" s="29"/>
      <c r="S19" s="29"/>
      <c r="T19" s="29"/>
      <c r="U19" s="29"/>
      <c r="V19" s="29"/>
      <c r="W19" s="29"/>
      <c r="X19" s="29"/>
      <c r="Y19" s="29"/>
      <c r="Z19" s="29">
        <v>151948</v>
      </c>
      <c r="AA19" s="29" t="s">
        <v>37</v>
      </c>
      <c r="AB19" s="29"/>
      <c r="AC19" s="29"/>
      <c r="AD19" s="29"/>
      <c r="AE19" s="29"/>
      <c r="AF19" s="29"/>
      <c r="AG19" s="29">
        <v>2</v>
      </c>
      <c r="AI19" s="29"/>
      <c r="AJ19" s="29"/>
      <c r="AK19" s="29"/>
      <c r="AL19" s="29"/>
      <c r="AM19" s="29"/>
      <c r="AN19" s="29"/>
      <c r="AO19" s="29"/>
      <c r="AP19" s="29"/>
      <c r="AQ19" s="29">
        <v>153033</v>
      </c>
      <c r="AR19" s="29" t="s">
        <v>38</v>
      </c>
      <c r="AS19" s="29"/>
      <c r="AT19" s="29"/>
      <c r="AU19" s="29"/>
      <c r="AV19" s="29"/>
      <c r="AW19" s="29"/>
      <c r="AX19" s="29">
        <v>1</v>
      </c>
      <c r="AZ19" s="29"/>
      <c r="BA19" s="29"/>
      <c r="BB19" s="29"/>
      <c r="BC19" s="29"/>
      <c r="BD19" s="29"/>
      <c r="BE19" s="29"/>
      <c r="BF19" s="29"/>
      <c r="BG19" s="29"/>
      <c r="BH19" s="29">
        <v>151725</v>
      </c>
      <c r="BI19" s="29" t="s">
        <v>33</v>
      </c>
      <c r="BJ19" s="29"/>
      <c r="BK19" s="29"/>
      <c r="BL19" s="29"/>
      <c r="BM19" s="29"/>
      <c r="BN19" s="29"/>
      <c r="BO19" s="29">
        <v>1</v>
      </c>
    </row>
    <row r="20" spans="1:67" x14ac:dyDescent="0.25">
      <c r="A20" s="29"/>
      <c r="B20" s="29"/>
      <c r="C20" s="29"/>
      <c r="D20" s="29"/>
      <c r="E20" s="29"/>
      <c r="F20" s="29"/>
      <c r="G20" s="29"/>
      <c r="H20" s="29"/>
      <c r="I20" s="29">
        <v>151775</v>
      </c>
      <c r="J20" s="29" t="s">
        <v>35</v>
      </c>
      <c r="K20" s="29"/>
      <c r="L20" s="29"/>
      <c r="M20" s="29"/>
      <c r="N20" s="29"/>
      <c r="O20" s="29"/>
      <c r="P20" s="29">
        <v>1</v>
      </c>
      <c r="R20" s="29"/>
      <c r="S20" s="29"/>
      <c r="T20" s="29"/>
      <c r="U20" s="29"/>
      <c r="V20" s="29"/>
      <c r="W20" s="29"/>
      <c r="X20" s="29"/>
      <c r="Y20" s="29"/>
      <c r="Z20" s="29">
        <v>153033</v>
      </c>
      <c r="AA20" s="29" t="s">
        <v>38</v>
      </c>
      <c r="AB20" s="29"/>
      <c r="AC20" s="29"/>
      <c r="AD20" s="29"/>
      <c r="AE20" s="29"/>
      <c r="AF20" s="29"/>
      <c r="AG20" s="29">
        <v>1</v>
      </c>
      <c r="AI20" s="29"/>
      <c r="AJ20" s="29"/>
      <c r="AK20" s="29"/>
      <c r="AL20" s="29"/>
      <c r="AM20" s="29"/>
      <c r="AN20" s="29"/>
      <c r="AO20" s="29"/>
      <c r="AP20" s="29"/>
      <c r="AQ20" s="29">
        <v>153135</v>
      </c>
      <c r="AR20" s="29" t="s">
        <v>39</v>
      </c>
      <c r="AS20" s="29"/>
      <c r="AT20" s="29"/>
      <c r="AU20" s="29"/>
      <c r="AV20" s="29"/>
      <c r="AW20" s="29"/>
      <c r="AX20" s="29">
        <v>1</v>
      </c>
      <c r="AZ20" s="29"/>
      <c r="BA20" s="29"/>
      <c r="BB20" s="29"/>
      <c r="BC20" s="29"/>
      <c r="BD20" s="29"/>
      <c r="BE20" s="29"/>
      <c r="BF20" s="29"/>
      <c r="BG20" s="29"/>
      <c r="BH20" s="29">
        <v>151750</v>
      </c>
      <c r="BI20" s="29" t="s">
        <v>34</v>
      </c>
      <c r="BJ20" s="29"/>
      <c r="BK20" s="29"/>
      <c r="BL20" s="29"/>
      <c r="BM20" s="29"/>
      <c r="BN20" s="29"/>
      <c r="BO20" s="29">
        <v>1</v>
      </c>
    </row>
    <row r="21" spans="1:67" x14ac:dyDescent="0.25">
      <c r="A21" s="29"/>
      <c r="B21" s="29"/>
      <c r="C21" s="29"/>
      <c r="D21" s="29"/>
      <c r="E21" s="29"/>
      <c r="F21" s="29"/>
      <c r="G21" s="29"/>
      <c r="H21" s="29"/>
      <c r="I21" s="29">
        <v>151944</v>
      </c>
      <c r="J21" s="29" t="s">
        <v>36</v>
      </c>
      <c r="K21" s="29"/>
      <c r="L21" s="29"/>
      <c r="M21" s="29"/>
      <c r="N21" s="29"/>
      <c r="O21" s="29"/>
      <c r="P21" s="29">
        <v>1</v>
      </c>
      <c r="R21" s="29"/>
      <c r="S21" s="29"/>
      <c r="T21" s="29"/>
      <c r="U21" s="29"/>
      <c r="V21" s="29"/>
      <c r="W21" s="29"/>
      <c r="X21" s="29"/>
      <c r="Y21" s="29"/>
      <c r="Z21" s="29">
        <v>153135</v>
      </c>
      <c r="AA21" s="29" t="s">
        <v>39</v>
      </c>
      <c r="AB21" s="29"/>
      <c r="AC21" s="29"/>
      <c r="AD21" s="29"/>
      <c r="AE21" s="29"/>
      <c r="AF21" s="29"/>
      <c r="AG21" s="29">
        <v>1</v>
      </c>
      <c r="AI21" s="29"/>
      <c r="AJ21" s="29"/>
      <c r="AK21" s="29"/>
      <c r="AL21" s="29"/>
      <c r="AM21" s="29"/>
      <c r="AN21" s="29"/>
      <c r="AO21" s="29"/>
      <c r="AP21" s="29"/>
      <c r="AQ21" s="29">
        <v>153552</v>
      </c>
      <c r="AR21" s="29" t="s">
        <v>40</v>
      </c>
      <c r="AS21" s="29"/>
      <c r="AT21" s="29"/>
      <c r="AU21" s="29"/>
      <c r="AV21" s="29"/>
      <c r="AW21" s="29"/>
      <c r="AX21" s="29">
        <v>1</v>
      </c>
      <c r="AZ21" s="29"/>
      <c r="BA21" s="29"/>
      <c r="BB21" s="29"/>
      <c r="BC21" s="29"/>
      <c r="BD21" s="29"/>
      <c r="BE21" s="29"/>
      <c r="BF21" s="29"/>
      <c r="BG21" s="29"/>
      <c r="BH21" s="29">
        <v>151944</v>
      </c>
      <c r="BI21" s="29" t="s">
        <v>36</v>
      </c>
      <c r="BJ21" s="29"/>
      <c r="BK21" s="29"/>
      <c r="BL21" s="29"/>
      <c r="BM21" s="29"/>
      <c r="BN21" s="29"/>
      <c r="BO21" s="29">
        <v>1</v>
      </c>
    </row>
    <row r="22" spans="1:67" x14ac:dyDescent="0.25">
      <c r="A22" s="29"/>
      <c r="B22" s="29"/>
      <c r="C22" s="29"/>
      <c r="D22" s="29"/>
      <c r="E22" s="29"/>
      <c r="F22" s="29"/>
      <c r="G22" s="29"/>
      <c r="H22" s="29"/>
      <c r="I22" s="29">
        <v>151948</v>
      </c>
      <c r="J22" s="29" t="s">
        <v>37</v>
      </c>
      <c r="K22" s="29"/>
      <c r="L22" s="29"/>
      <c r="M22" s="29"/>
      <c r="N22" s="29"/>
      <c r="O22" s="29"/>
      <c r="P22" s="29">
        <v>3</v>
      </c>
      <c r="R22" s="29"/>
      <c r="S22" s="29"/>
      <c r="T22" s="29"/>
      <c r="U22" s="29"/>
      <c r="V22" s="29"/>
      <c r="W22" s="29"/>
      <c r="X22" s="29"/>
      <c r="Y22" s="29"/>
      <c r="Z22" s="29">
        <v>154328</v>
      </c>
      <c r="AA22" s="29" t="s">
        <v>41</v>
      </c>
      <c r="AB22" s="29"/>
      <c r="AC22" s="29"/>
      <c r="AD22" s="29"/>
      <c r="AE22" s="29"/>
      <c r="AF22" s="29"/>
      <c r="AG22" s="29">
        <v>1</v>
      </c>
      <c r="AI22" s="29"/>
      <c r="AJ22" s="29"/>
      <c r="AK22" s="29"/>
      <c r="AL22" s="29"/>
      <c r="AM22" s="29"/>
      <c r="AN22" s="29"/>
      <c r="AO22" s="29"/>
      <c r="AP22" s="29"/>
      <c r="AQ22" s="29">
        <v>154328</v>
      </c>
      <c r="AR22" s="29" t="s">
        <v>41</v>
      </c>
      <c r="AS22" s="29"/>
      <c r="AT22" s="29"/>
      <c r="AU22" s="29"/>
      <c r="AV22" s="29"/>
      <c r="AW22" s="29"/>
      <c r="AX22" s="29">
        <v>1</v>
      </c>
      <c r="AZ22" s="29"/>
      <c r="BA22" s="29"/>
      <c r="BB22" s="29"/>
      <c r="BC22" s="29"/>
      <c r="BD22" s="29"/>
      <c r="BE22" s="29"/>
      <c r="BF22" s="29"/>
      <c r="BG22" s="29"/>
      <c r="BH22" s="29">
        <v>153033</v>
      </c>
      <c r="BI22" s="29" t="s">
        <v>38</v>
      </c>
      <c r="BJ22" s="29"/>
      <c r="BK22" s="29"/>
      <c r="BL22" s="29"/>
      <c r="BM22" s="29"/>
      <c r="BN22" s="29"/>
      <c r="BO22" s="29">
        <v>1</v>
      </c>
    </row>
    <row r="23" spans="1:67" x14ac:dyDescent="0.25">
      <c r="A23" s="29"/>
      <c r="B23" s="29"/>
      <c r="C23" s="29"/>
      <c r="D23" s="29"/>
      <c r="E23" s="29"/>
      <c r="F23" s="29"/>
      <c r="G23" s="29"/>
      <c r="H23" s="29"/>
      <c r="I23" s="29">
        <v>153033</v>
      </c>
      <c r="J23" s="29" t="s">
        <v>38</v>
      </c>
      <c r="K23" s="29"/>
      <c r="L23" s="29"/>
      <c r="M23" s="29"/>
      <c r="N23" s="29"/>
      <c r="O23" s="29"/>
      <c r="P23" s="29">
        <v>1</v>
      </c>
      <c r="R23" s="29"/>
      <c r="S23" s="29"/>
      <c r="T23" s="29"/>
      <c r="U23" s="29"/>
      <c r="V23" s="29"/>
      <c r="W23" s="29"/>
      <c r="X23" s="29"/>
      <c r="Y23" s="29"/>
      <c r="Z23" s="29">
        <v>154630</v>
      </c>
      <c r="AA23" s="29" t="s">
        <v>42</v>
      </c>
      <c r="AB23" s="29"/>
      <c r="AC23" s="29"/>
      <c r="AD23" s="29"/>
      <c r="AE23" s="29"/>
      <c r="AF23" s="29"/>
      <c r="AG23" s="29">
        <v>1</v>
      </c>
      <c r="AI23" s="29"/>
      <c r="AJ23" s="29"/>
      <c r="AK23" s="29"/>
      <c r="AL23" s="29"/>
      <c r="AM23" s="29"/>
      <c r="AN23" s="29"/>
      <c r="AO23" s="29"/>
      <c r="AP23" s="29"/>
      <c r="AQ23" s="29">
        <v>154630</v>
      </c>
      <c r="AR23" s="29" t="s">
        <v>42</v>
      </c>
      <c r="AS23" s="29"/>
      <c r="AT23" s="29"/>
      <c r="AU23" s="29"/>
      <c r="AV23" s="29"/>
      <c r="AW23" s="29"/>
      <c r="AX23" s="29">
        <v>1</v>
      </c>
      <c r="AZ23" s="29"/>
      <c r="BA23" s="29"/>
      <c r="BB23" s="29"/>
      <c r="BC23" s="29"/>
      <c r="BD23" s="29"/>
      <c r="BE23" s="29"/>
      <c r="BF23" s="29"/>
      <c r="BG23" s="29"/>
      <c r="BH23" s="29">
        <v>153135</v>
      </c>
      <c r="BI23" s="29" t="s">
        <v>39</v>
      </c>
      <c r="BJ23" s="29"/>
      <c r="BK23" s="29"/>
      <c r="BL23" s="29"/>
      <c r="BM23" s="29"/>
      <c r="BN23" s="29"/>
      <c r="BO23" s="29">
        <v>1</v>
      </c>
    </row>
    <row r="24" spans="1:67" x14ac:dyDescent="0.25">
      <c r="A24" s="29"/>
      <c r="B24" s="29"/>
      <c r="C24" s="29"/>
      <c r="D24" s="29"/>
      <c r="E24" s="29"/>
      <c r="F24" s="29"/>
      <c r="G24" s="29"/>
      <c r="H24" s="29"/>
      <c r="I24" s="29">
        <v>153135</v>
      </c>
      <c r="J24" s="29" t="s">
        <v>39</v>
      </c>
      <c r="K24" s="29"/>
      <c r="L24" s="29"/>
      <c r="M24" s="29"/>
      <c r="N24" s="29"/>
      <c r="O24" s="29"/>
      <c r="P24" s="29">
        <v>1</v>
      </c>
      <c r="R24" s="29"/>
      <c r="S24" s="29"/>
      <c r="T24" s="29"/>
      <c r="U24" s="29"/>
      <c r="V24" s="29"/>
      <c r="W24" s="29"/>
      <c r="X24" s="29"/>
      <c r="Y24" s="29"/>
      <c r="Z24" s="29">
        <v>155681</v>
      </c>
      <c r="AA24" s="29" t="s">
        <v>44</v>
      </c>
      <c r="AB24" s="29"/>
      <c r="AC24" s="29"/>
      <c r="AD24" s="29"/>
      <c r="AE24" s="29"/>
      <c r="AF24" s="29"/>
      <c r="AG24" s="29">
        <v>1</v>
      </c>
      <c r="AI24" s="29"/>
      <c r="AJ24" s="29"/>
      <c r="AK24" s="29"/>
      <c r="AL24" s="29"/>
      <c r="AM24" s="29"/>
      <c r="AN24" s="29"/>
      <c r="AO24" s="29"/>
      <c r="AP24" s="29"/>
      <c r="AQ24" s="29">
        <v>155681</v>
      </c>
      <c r="AR24" s="29" t="s">
        <v>44</v>
      </c>
      <c r="AS24" s="29"/>
      <c r="AT24" s="29"/>
      <c r="AU24" s="29"/>
      <c r="AV24" s="29"/>
      <c r="AW24" s="29"/>
      <c r="AX24" s="29">
        <v>1</v>
      </c>
      <c r="AZ24" s="29"/>
      <c r="BA24" s="29"/>
      <c r="BB24" s="29"/>
      <c r="BC24" s="29"/>
      <c r="BD24" s="29"/>
      <c r="BE24" s="29"/>
      <c r="BF24" s="29"/>
      <c r="BG24" s="29"/>
      <c r="BH24" s="29">
        <v>153552</v>
      </c>
      <c r="BI24" s="29" t="s">
        <v>40</v>
      </c>
      <c r="BJ24" s="29"/>
      <c r="BK24" s="29"/>
      <c r="BL24" s="29"/>
      <c r="BM24" s="29"/>
      <c r="BN24" s="29"/>
      <c r="BO24" s="29">
        <v>1</v>
      </c>
    </row>
    <row r="25" spans="1:67" x14ac:dyDescent="0.25">
      <c r="A25" s="29"/>
      <c r="B25" s="29"/>
      <c r="C25" s="29"/>
      <c r="D25" s="29"/>
      <c r="E25" s="29"/>
      <c r="F25" s="29"/>
      <c r="G25" s="29"/>
      <c r="H25" s="29"/>
      <c r="I25" s="29">
        <v>155614</v>
      </c>
      <c r="J25" s="29" t="s">
        <v>43</v>
      </c>
      <c r="K25" s="29"/>
      <c r="L25" s="29"/>
      <c r="M25" s="29"/>
      <c r="N25" s="29"/>
      <c r="O25" s="29"/>
      <c r="P25" s="29">
        <v>1</v>
      </c>
      <c r="R25" s="29"/>
      <c r="S25" s="29"/>
      <c r="T25" s="29"/>
      <c r="U25" s="29"/>
      <c r="V25" s="29"/>
      <c r="W25" s="29"/>
      <c r="X25" s="29"/>
      <c r="Y25" s="29"/>
      <c r="Z25" s="29">
        <v>155890</v>
      </c>
      <c r="AA25" s="29" t="s">
        <v>45</v>
      </c>
      <c r="AB25" s="29"/>
      <c r="AC25" s="29"/>
      <c r="AD25" s="29"/>
      <c r="AE25" s="29"/>
      <c r="AF25" s="29"/>
      <c r="AG25" s="29">
        <v>1</v>
      </c>
      <c r="AI25" s="29"/>
      <c r="AJ25" s="29"/>
      <c r="AK25" s="29"/>
      <c r="AL25" s="29"/>
      <c r="AM25" s="29"/>
      <c r="AN25" s="29"/>
      <c r="AO25" s="29"/>
      <c r="AP25" s="29"/>
      <c r="AQ25" s="29">
        <v>157159</v>
      </c>
      <c r="AR25" s="29" t="s">
        <v>47</v>
      </c>
      <c r="AS25" s="29"/>
      <c r="AT25" s="29"/>
      <c r="AU25" s="29"/>
      <c r="AV25" s="29"/>
      <c r="AW25" s="29"/>
      <c r="AX25" s="29">
        <v>1</v>
      </c>
      <c r="AZ25" s="29"/>
      <c r="BA25" s="29"/>
      <c r="BB25" s="29"/>
      <c r="BC25" s="29"/>
      <c r="BD25" s="29"/>
      <c r="BE25" s="29"/>
      <c r="BF25" s="29"/>
      <c r="BG25" s="29"/>
      <c r="BH25" s="29">
        <v>154328</v>
      </c>
      <c r="BI25" s="29" t="s">
        <v>41</v>
      </c>
      <c r="BJ25" s="29"/>
      <c r="BK25" s="29"/>
      <c r="BL25" s="29"/>
      <c r="BM25" s="29"/>
      <c r="BN25" s="29"/>
      <c r="BO25" s="29">
        <v>1</v>
      </c>
    </row>
    <row r="26" spans="1:67" x14ac:dyDescent="0.25">
      <c r="A26" s="29"/>
      <c r="B26" s="29"/>
      <c r="C26" s="29"/>
      <c r="D26" s="29"/>
      <c r="E26" s="29"/>
      <c r="F26" s="29"/>
      <c r="G26" s="29"/>
      <c r="H26" s="29"/>
      <c r="I26" s="29">
        <v>155890</v>
      </c>
      <c r="J26" s="29" t="s">
        <v>45</v>
      </c>
      <c r="K26" s="29"/>
      <c r="L26" s="29"/>
      <c r="M26" s="29"/>
      <c r="N26" s="29"/>
      <c r="O26" s="29"/>
      <c r="P26" s="29">
        <v>1</v>
      </c>
      <c r="R26" s="29"/>
      <c r="S26" s="29"/>
      <c r="T26" s="29"/>
      <c r="U26" s="29"/>
      <c r="V26" s="29"/>
      <c r="W26" s="29"/>
      <c r="X26" s="29"/>
      <c r="Y26" s="29"/>
      <c r="Z26" s="29">
        <v>157159</v>
      </c>
      <c r="AA26" s="29" t="s">
        <v>47</v>
      </c>
      <c r="AB26" s="29"/>
      <c r="AC26" s="29"/>
      <c r="AD26" s="29"/>
      <c r="AE26" s="29"/>
      <c r="AF26" s="29"/>
      <c r="AG26" s="29">
        <v>1</v>
      </c>
      <c r="AI26" s="29"/>
      <c r="AJ26" s="29"/>
      <c r="AK26" s="29"/>
      <c r="AL26" s="29"/>
      <c r="AM26" s="29"/>
      <c r="AN26" s="29"/>
      <c r="AO26" s="29"/>
      <c r="AP26" s="29"/>
      <c r="AQ26" s="29">
        <v>157540</v>
      </c>
      <c r="AR26" s="29" t="s">
        <v>49</v>
      </c>
      <c r="AS26" s="29"/>
      <c r="AT26" s="29"/>
      <c r="AU26" s="29"/>
      <c r="AV26" s="29"/>
      <c r="AW26" s="29"/>
      <c r="AX26" s="29">
        <v>1</v>
      </c>
      <c r="AZ26" s="29"/>
      <c r="BA26" s="29"/>
      <c r="BB26" s="29"/>
      <c r="BC26" s="29"/>
      <c r="BD26" s="29"/>
      <c r="BE26" s="29"/>
      <c r="BF26" s="29"/>
      <c r="BG26" s="29"/>
      <c r="BH26" s="29">
        <v>154630</v>
      </c>
      <c r="BI26" s="29" t="s">
        <v>42</v>
      </c>
      <c r="BJ26" s="29"/>
      <c r="BK26" s="29"/>
      <c r="BL26" s="29"/>
      <c r="BM26" s="29"/>
      <c r="BN26" s="29"/>
      <c r="BO26" s="29">
        <v>1</v>
      </c>
    </row>
    <row r="27" spans="1:67" x14ac:dyDescent="0.25">
      <c r="A27" s="29"/>
      <c r="B27" s="29"/>
      <c r="C27" s="29"/>
      <c r="D27" s="29"/>
      <c r="E27" s="29"/>
      <c r="F27" s="29"/>
      <c r="G27" s="29"/>
      <c r="H27" s="29"/>
      <c r="I27" s="29">
        <v>157048</v>
      </c>
      <c r="J27" s="29" t="s">
        <v>46</v>
      </c>
      <c r="K27" s="29"/>
      <c r="L27" s="29"/>
      <c r="M27" s="29"/>
      <c r="N27" s="29"/>
      <c r="O27" s="29"/>
      <c r="P27" s="29">
        <v>1</v>
      </c>
      <c r="R27" s="29"/>
      <c r="S27" s="29"/>
      <c r="T27" s="29"/>
      <c r="U27" s="29"/>
      <c r="V27" s="29"/>
      <c r="W27" s="29"/>
      <c r="X27" s="29"/>
      <c r="Y27" s="29"/>
      <c r="Z27" s="29">
        <v>157437</v>
      </c>
      <c r="AA27" s="29" t="s">
        <v>48</v>
      </c>
      <c r="AB27" s="29"/>
      <c r="AC27" s="29"/>
      <c r="AD27" s="29"/>
      <c r="AE27" s="29"/>
      <c r="AF27" s="29"/>
      <c r="AG27" s="29">
        <v>2</v>
      </c>
      <c r="AI27" s="29"/>
      <c r="AJ27" s="29"/>
      <c r="AK27" s="29"/>
      <c r="AL27" s="29"/>
      <c r="AM27" s="29"/>
      <c r="AN27" s="29"/>
      <c r="AO27" s="29"/>
      <c r="AP27" s="29"/>
      <c r="AQ27" s="29">
        <v>157803</v>
      </c>
      <c r="AR27" s="29" t="s">
        <v>51</v>
      </c>
      <c r="AS27" s="29"/>
      <c r="AT27" s="29"/>
      <c r="AU27" s="29"/>
      <c r="AV27" s="29"/>
      <c r="AW27" s="29"/>
      <c r="AX27" s="29">
        <v>1</v>
      </c>
      <c r="AZ27" s="29"/>
      <c r="BA27" s="29"/>
      <c r="BB27" s="29"/>
      <c r="BC27" s="29"/>
      <c r="BD27" s="29"/>
      <c r="BE27" s="29"/>
      <c r="BF27" s="29"/>
      <c r="BG27" s="29"/>
      <c r="BH27" s="29">
        <v>155614</v>
      </c>
      <c r="BI27" s="29" t="s">
        <v>43</v>
      </c>
      <c r="BJ27" s="29"/>
      <c r="BK27" s="29"/>
      <c r="BL27" s="29"/>
      <c r="BM27" s="29"/>
      <c r="BN27" s="29"/>
      <c r="BO27" s="29">
        <v>1</v>
      </c>
    </row>
    <row r="28" spans="1:67" x14ac:dyDescent="0.25">
      <c r="A28" s="29"/>
      <c r="B28" s="29"/>
      <c r="C28" s="29"/>
      <c r="D28" s="29"/>
      <c r="E28" s="29"/>
      <c r="F28" s="29"/>
      <c r="G28" s="29"/>
      <c r="H28" s="29"/>
      <c r="I28" s="29">
        <v>157159</v>
      </c>
      <c r="J28" s="29" t="s">
        <v>47</v>
      </c>
      <c r="K28" s="29"/>
      <c r="L28" s="29"/>
      <c r="M28" s="29"/>
      <c r="N28" s="29"/>
      <c r="O28" s="29"/>
      <c r="P28" s="29">
        <v>1</v>
      </c>
      <c r="R28" s="29"/>
      <c r="S28" s="29"/>
      <c r="T28" s="29"/>
      <c r="U28" s="29"/>
      <c r="V28" s="29"/>
      <c r="W28" s="29"/>
      <c r="X28" s="29"/>
      <c r="Y28" s="29"/>
      <c r="Z28" s="29">
        <v>157540</v>
      </c>
      <c r="AA28" s="29" t="s">
        <v>49</v>
      </c>
      <c r="AB28" s="29"/>
      <c r="AC28" s="29"/>
      <c r="AD28" s="29"/>
      <c r="AE28" s="29"/>
      <c r="AF28" s="29"/>
      <c r="AG28" s="29">
        <v>1</v>
      </c>
      <c r="AI28" s="29"/>
      <c r="AJ28" s="29"/>
      <c r="AK28" s="29"/>
      <c r="AL28" s="29"/>
      <c r="AM28" s="29"/>
      <c r="AN28" s="29"/>
      <c r="AO28" s="29"/>
      <c r="AP28" s="29"/>
      <c r="AQ28" s="29">
        <v>158275</v>
      </c>
      <c r="AR28" s="29" t="s">
        <v>53</v>
      </c>
      <c r="AS28" s="29"/>
      <c r="AT28" s="29"/>
      <c r="AU28" s="29"/>
      <c r="AV28" s="29"/>
      <c r="AW28" s="29"/>
      <c r="AX28" s="29">
        <v>1</v>
      </c>
      <c r="AZ28" s="29"/>
      <c r="BA28" s="29"/>
      <c r="BB28" s="29"/>
      <c r="BC28" s="29"/>
      <c r="BD28" s="29"/>
      <c r="BE28" s="29"/>
      <c r="BF28" s="29"/>
      <c r="BG28" s="29"/>
      <c r="BH28" s="29">
        <v>157048</v>
      </c>
      <c r="BI28" s="29" t="s">
        <v>46</v>
      </c>
      <c r="BJ28" s="29"/>
      <c r="BK28" s="29"/>
      <c r="BL28" s="29"/>
      <c r="BM28" s="29"/>
      <c r="BN28" s="29"/>
      <c r="BO28" s="29">
        <v>1</v>
      </c>
    </row>
    <row r="29" spans="1:67" x14ac:dyDescent="0.25">
      <c r="A29" s="29"/>
      <c r="B29" s="29"/>
      <c r="C29" s="29"/>
      <c r="D29" s="29"/>
      <c r="E29" s="29"/>
      <c r="F29" s="29"/>
      <c r="G29" s="29"/>
      <c r="H29" s="29"/>
      <c r="I29" s="29">
        <v>157540</v>
      </c>
      <c r="J29" s="29" t="s">
        <v>49</v>
      </c>
      <c r="K29" s="29"/>
      <c r="L29" s="29"/>
      <c r="M29" s="29"/>
      <c r="N29" s="29"/>
      <c r="O29" s="29"/>
      <c r="P29" s="29">
        <v>1</v>
      </c>
      <c r="R29" s="29"/>
      <c r="S29" s="29"/>
      <c r="T29" s="29"/>
      <c r="U29" s="29"/>
      <c r="V29" s="29"/>
      <c r="W29" s="29"/>
      <c r="X29" s="29"/>
      <c r="Y29" s="29"/>
      <c r="Z29" s="29">
        <v>157613</v>
      </c>
      <c r="AA29" s="29" t="s">
        <v>50</v>
      </c>
      <c r="AB29" s="29"/>
      <c r="AC29" s="29"/>
      <c r="AD29" s="29"/>
      <c r="AE29" s="29"/>
      <c r="AF29" s="29"/>
      <c r="AG29" s="29">
        <v>1</v>
      </c>
      <c r="AI29" s="29"/>
      <c r="AJ29" s="29"/>
      <c r="AK29" s="29"/>
      <c r="AL29" s="29"/>
      <c r="AM29" s="29"/>
      <c r="AN29" s="29"/>
      <c r="AO29" s="29"/>
      <c r="AP29" s="29"/>
      <c r="AQ29" s="29">
        <v>159682</v>
      </c>
      <c r="AR29" s="29" t="s">
        <v>54</v>
      </c>
      <c r="AS29" s="29"/>
      <c r="AT29" s="29"/>
      <c r="AU29" s="29"/>
      <c r="AV29" s="29"/>
      <c r="AW29" s="29"/>
      <c r="AX29" s="29">
        <v>1</v>
      </c>
      <c r="AZ29" s="29"/>
      <c r="BA29" s="29"/>
      <c r="BB29" s="29"/>
      <c r="BC29" s="29"/>
      <c r="BD29" s="29"/>
      <c r="BE29" s="29"/>
      <c r="BF29" s="29"/>
      <c r="BG29" s="29"/>
      <c r="BH29" s="29">
        <v>157159</v>
      </c>
      <c r="BI29" s="29" t="s">
        <v>47</v>
      </c>
      <c r="BJ29" s="29"/>
      <c r="BK29" s="29"/>
      <c r="BL29" s="29"/>
      <c r="BM29" s="29"/>
      <c r="BN29" s="29"/>
      <c r="BO29" s="29">
        <v>1</v>
      </c>
    </row>
    <row r="30" spans="1:67" x14ac:dyDescent="0.25">
      <c r="A30" s="29"/>
      <c r="B30" s="29"/>
      <c r="C30" s="29"/>
      <c r="D30" s="29"/>
      <c r="E30" s="29"/>
      <c r="F30" s="29"/>
      <c r="G30" s="29"/>
      <c r="H30" s="29"/>
      <c r="I30" s="29">
        <v>157613</v>
      </c>
      <c r="J30" s="29" t="s">
        <v>50</v>
      </c>
      <c r="K30" s="29"/>
      <c r="L30" s="29"/>
      <c r="M30" s="29"/>
      <c r="N30" s="29"/>
      <c r="O30" s="29"/>
      <c r="P30" s="29">
        <v>1</v>
      </c>
      <c r="R30" s="29"/>
      <c r="S30" s="29"/>
      <c r="T30" s="29"/>
      <c r="U30" s="29"/>
      <c r="V30" s="29"/>
      <c r="W30" s="29"/>
      <c r="X30" s="29"/>
      <c r="Y30" s="29"/>
      <c r="Z30" s="29">
        <v>158160</v>
      </c>
      <c r="AA30" s="29" t="s">
        <v>52</v>
      </c>
      <c r="AB30" s="29"/>
      <c r="AC30" s="29"/>
      <c r="AD30" s="29"/>
      <c r="AE30" s="29"/>
      <c r="AF30" s="29"/>
      <c r="AG30" s="29">
        <v>1</v>
      </c>
      <c r="AI30" s="29"/>
      <c r="AJ30" s="29"/>
      <c r="AK30" s="29"/>
      <c r="AL30" s="29"/>
      <c r="AM30" s="29"/>
      <c r="AN30" s="29"/>
      <c r="AO30" s="29"/>
      <c r="AP30" s="29"/>
      <c r="AQ30" s="29">
        <v>163518</v>
      </c>
      <c r="AR30" s="29" t="s">
        <v>56</v>
      </c>
      <c r="AS30" s="29"/>
      <c r="AT30" s="29"/>
      <c r="AU30" s="29"/>
      <c r="AV30" s="29"/>
      <c r="AW30" s="29"/>
      <c r="AX30" s="29">
        <v>2</v>
      </c>
      <c r="AZ30" s="29"/>
      <c r="BA30" s="29"/>
      <c r="BB30" s="29"/>
      <c r="BC30" s="29"/>
      <c r="BD30" s="29"/>
      <c r="BE30" s="29"/>
      <c r="BF30" s="29"/>
      <c r="BG30" s="29"/>
      <c r="BH30" s="29">
        <v>157437</v>
      </c>
      <c r="BI30" s="29" t="s">
        <v>48</v>
      </c>
      <c r="BJ30" s="29"/>
      <c r="BK30" s="29"/>
      <c r="BL30" s="29"/>
      <c r="BM30" s="29"/>
      <c r="BN30" s="29"/>
      <c r="BO30" s="29">
        <v>3</v>
      </c>
    </row>
    <row r="31" spans="1:67" x14ac:dyDescent="0.25">
      <c r="A31" s="29"/>
      <c r="B31" s="29"/>
      <c r="C31" s="29"/>
      <c r="D31" s="29"/>
      <c r="E31" s="29"/>
      <c r="F31" s="29"/>
      <c r="G31" s="29"/>
      <c r="H31" s="29"/>
      <c r="I31" s="29">
        <v>157803</v>
      </c>
      <c r="J31" s="29" t="s">
        <v>51</v>
      </c>
      <c r="K31" s="29"/>
      <c r="L31" s="29"/>
      <c r="M31" s="29"/>
      <c r="N31" s="29"/>
      <c r="O31" s="29"/>
      <c r="P31" s="29">
        <v>1</v>
      </c>
      <c r="R31" s="29"/>
      <c r="S31" s="29"/>
      <c r="T31" s="29"/>
      <c r="U31" s="29"/>
      <c r="V31" s="29"/>
      <c r="W31" s="29"/>
      <c r="X31" s="29"/>
      <c r="Y31" s="29"/>
      <c r="Z31" s="29">
        <v>159682</v>
      </c>
      <c r="AA31" s="29" t="s">
        <v>54</v>
      </c>
      <c r="AB31" s="29"/>
      <c r="AC31" s="29"/>
      <c r="AD31" s="29"/>
      <c r="AE31" s="29"/>
      <c r="AF31" s="29"/>
      <c r="AG31" s="29">
        <v>1</v>
      </c>
      <c r="AI31" s="29"/>
      <c r="AJ31" s="29"/>
      <c r="AK31" s="29"/>
      <c r="AL31" s="29"/>
      <c r="AM31" s="29"/>
      <c r="AN31" s="29"/>
      <c r="AO31" s="29"/>
      <c r="AP31" s="29"/>
      <c r="AQ31" s="29">
        <v>164839</v>
      </c>
      <c r="AR31" s="29" t="s">
        <v>58</v>
      </c>
      <c r="AS31" s="29"/>
      <c r="AT31" s="29"/>
      <c r="AU31" s="29"/>
      <c r="AV31" s="29"/>
      <c r="AW31" s="29"/>
      <c r="AX31" s="29">
        <v>1</v>
      </c>
      <c r="AZ31" s="29"/>
      <c r="BA31" s="29"/>
      <c r="BB31" s="29"/>
      <c r="BC31" s="29"/>
      <c r="BD31" s="29"/>
      <c r="BE31" s="29"/>
      <c r="BF31" s="29"/>
      <c r="BG31" s="29"/>
      <c r="BH31" s="29">
        <v>158160</v>
      </c>
      <c r="BI31" s="29" t="s">
        <v>52</v>
      </c>
      <c r="BJ31" s="29"/>
      <c r="BK31" s="29"/>
      <c r="BL31" s="29"/>
      <c r="BM31" s="29"/>
      <c r="BN31" s="29"/>
      <c r="BO31" s="29">
        <v>1</v>
      </c>
    </row>
    <row r="32" spans="1:67" x14ac:dyDescent="0.25">
      <c r="A32" s="29"/>
      <c r="B32" s="29"/>
      <c r="C32" s="29"/>
      <c r="D32" s="29"/>
      <c r="E32" s="29"/>
      <c r="F32" s="29"/>
      <c r="G32" s="29"/>
      <c r="H32" s="29"/>
      <c r="I32" s="29">
        <v>158275</v>
      </c>
      <c r="J32" s="29" t="s">
        <v>53</v>
      </c>
      <c r="K32" s="29"/>
      <c r="L32" s="29"/>
      <c r="M32" s="29"/>
      <c r="N32" s="29"/>
      <c r="O32" s="29"/>
      <c r="P32" s="29">
        <v>1</v>
      </c>
      <c r="R32" s="29"/>
      <c r="S32" s="29"/>
      <c r="T32" s="29"/>
      <c r="U32" s="29"/>
      <c r="V32" s="29"/>
      <c r="W32" s="29"/>
      <c r="X32" s="29"/>
      <c r="Y32" s="29"/>
      <c r="Z32" s="29">
        <v>163730</v>
      </c>
      <c r="AA32" s="29" t="s">
        <v>57</v>
      </c>
      <c r="AB32" s="29"/>
      <c r="AC32" s="29"/>
      <c r="AD32" s="29"/>
      <c r="AE32" s="29"/>
      <c r="AF32" s="29"/>
      <c r="AG32" s="29">
        <v>1</v>
      </c>
      <c r="AI32" s="29"/>
      <c r="AJ32" s="29"/>
      <c r="AK32" s="29"/>
      <c r="AL32" s="29"/>
      <c r="AM32" s="29"/>
      <c r="AN32" s="29"/>
      <c r="AO32" s="29"/>
      <c r="AP32" s="29"/>
      <c r="AQ32" s="29">
        <v>165676</v>
      </c>
      <c r="AR32" s="29" t="s">
        <v>59</v>
      </c>
      <c r="AS32" s="29"/>
      <c r="AT32" s="29"/>
      <c r="AU32" s="29"/>
      <c r="AV32" s="29"/>
      <c r="AW32" s="29"/>
      <c r="AX32" s="29">
        <v>1</v>
      </c>
      <c r="AZ32" s="29"/>
      <c r="BA32" s="29"/>
      <c r="BB32" s="29"/>
      <c r="BC32" s="29"/>
      <c r="BD32" s="29"/>
      <c r="BE32" s="29"/>
      <c r="BF32" s="29"/>
      <c r="BG32" s="29"/>
      <c r="BH32" s="29">
        <v>159682</v>
      </c>
      <c r="BI32" s="29" t="s">
        <v>54</v>
      </c>
      <c r="BJ32" s="29"/>
      <c r="BK32" s="29"/>
      <c r="BL32" s="29"/>
      <c r="BM32" s="29"/>
      <c r="BN32" s="29"/>
      <c r="BO32" s="29">
        <v>2</v>
      </c>
    </row>
    <row r="33" spans="1:67" x14ac:dyDescent="0.25">
      <c r="A33" s="29"/>
      <c r="B33" s="29"/>
      <c r="C33" s="29"/>
      <c r="D33" s="29"/>
      <c r="E33" s="29"/>
      <c r="F33" s="29"/>
      <c r="G33" s="29"/>
      <c r="H33" s="29"/>
      <c r="I33" s="29">
        <v>159682</v>
      </c>
      <c r="J33" s="29" t="s">
        <v>54</v>
      </c>
      <c r="K33" s="29"/>
      <c r="L33" s="29"/>
      <c r="M33" s="29"/>
      <c r="N33" s="29"/>
      <c r="O33" s="29"/>
      <c r="P33" s="29">
        <v>1</v>
      </c>
      <c r="R33" s="29"/>
      <c r="S33" s="29"/>
      <c r="T33" s="29"/>
      <c r="U33" s="29"/>
      <c r="V33" s="29"/>
      <c r="W33" s="29"/>
      <c r="X33" s="29"/>
      <c r="Y33" s="29"/>
      <c r="Z33" s="29">
        <v>164839</v>
      </c>
      <c r="AA33" s="29" t="s">
        <v>58</v>
      </c>
      <c r="AB33" s="29"/>
      <c r="AC33" s="29"/>
      <c r="AD33" s="29"/>
      <c r="AE33" s="29"/>
      <c r="AF33" s="29"/>
      <c r="AG33" s="29">
        <v>3</v>
      </c>
      <c r="AI33" s="29"/>
      <c r="AJ33" s="29"/>
      <c r="AK33" s="29"/>
      <c r="AL33" s="29"/>
      <c r="AM33" s="29"/>
      <c r="AN33" s="29"/>
      <c r="AO33" s="29"/>
      <c r="AP33" s="29"/>
      <c r="AQ33" s="29">
        <v>166865</v>
      </c>
      <c r="AR33" s="29" t="s">
        <v>62</v>
      </c>
      <c r="AS33" s="29"/>
      <c r="AT33" s="29"/>
      <c r="AU33" s="29"/>
      <c r="AV33" s="29"/>
      <c r="AW33" s="29"/>
      <c r="AX33" s="29">
        <v>1</v>
      </c>
      <c r="AZ33" s="29"/>
      <c r="BA33" s="29"/>
      <c r="BB33" s="29"/>
      <c r="BC33" s="29"/>
      <c r="BD33" s="29"/>
      <c r="BE33" s="29"/>
      <c r="BF33" s="29"/>
      <c r="BG33" s="29"/>
      <c r="BH33" s="29">
        <v>163518</v>
      </c>
      <c r="BI33" s="29" t="s">
        <v>56</v>
      </c>
      <c r="BJ33" s="29"/>
      <c r="BK33" s="29"/>
      <c r="BL33" s="29"/>
      <c r="BM33" s="29"/>
      <c r="BN33" s="29"/>
      <c r="BO33" s="29">
        <v>1</v>
      </c>
    </row>
    <row r="34" spans="1:67" x14ac:dyDescent="0.25">
      <c r="A34" s="29"/>
      <c r="B34" s="29"/>
      <c r="C34" s="29"/>
      <c r="D34" s="29"/>
      <c r="E34" s="29"/>
      <c r="F34" s="29"/>
      <c r="G34" s="29"/>
      <c r="H34" s="29"/>
      <c r="I34" s="29">
        <v>160006</v>
      </c>
      <c r="J34" s="29" t="s">
        <v>55</v>
      </c>
      <c r="K34" s="29"/>
      <c r="L34" s="29"/>
      <c r="M34" s="29"/>
      <c r="N34" s="29"/>
      <c r="O34" s="29"/>
      <c r="P34" s="29">
        <v>1</v>
      </c>
      <c r="R34" s="29"/>
      <c r="S34" s="29"/>
      <c r="T34" s="29"/>
      <c r="U34" s="29"/>
      <c r="V34" s="29"/>
      <c r="W34" s="29"/>
      <c r="X34" s="29"/>
      <c r="Y34" s="29"/>
      <c r="Z34" s="29">
        <v>166838</v>
      </c>
      <c r="AA34" s="29" t="s">
        <v>61</v>
      </c>
      <c r="AB34" s="29"/>
      <c r="AC34" s="29"/>
      <c r="AD34" s="29"/>
      <c r="AE34" s="29"/>
      <c r="AF34" s="29"/>
      <c r="AG34" s="29">
        <v>1</v>
      </c>
      <c r="AI34" s="29"/>
      <c r="AJ34" s="29"/>
      <c r="AK34" s="29"/>
      <c r="AL34" s="29"/>
      <c r="AM34" s="29"/>
      <c r="AN34" s="29"/>
      <c r="AO34" s="29"/>
      <c r="AP34" s="29"/>
      <c r="AQ34" s="29">
        <v>167422</v>
      </c>
      <c r="AR34" s="29" t="s">
        <v>63</v>
      </c>
      <c r="AS34" s="29"/>
      <c r="AT34" s="29"/>
      <c r="AU34" s="29"/>
      <c r="AV34" s="29"/>
      <c r="AW34" s="29"/>
      <c r="AX34" s="29">
        <v>1</v>
      </c>
      <c r="AZ34" s="29"/>
      <c r="BA34" s="29"/>
      <c r="BB34" s="29"/>
      <c r="BC34" s="29"/>
      <c r="BD34" s="29"/>
      <c r="BE34" s="29"/>
      <c r="BF34" s="29"/>
      <c r="BG34" s="29"/>
      <c r="BH34" s="29">
        <v>163730</v>
      </c>
      <c r="BI34" s="29" t="s">
        <v>57</v>
      </c>
      <c r="BJ34" s="29"/>
      <c r="BK34" s="29"/>
      <c r="BL34" s="29"/>
      <c r="BM34" s="29"/>
      <c r="BN34" s="29"/>
      <c r="BO34" s="29">
        <v>1</v>
      </c>
    </row>
    <row r="35" spans="1:67" x14ac:dyDescent="0.25">
      <c r="A35" s="29"/>
      <c r="B35" s="29"/>
      <c r="C35" s="29"/>
      <c r="D35" s="29"/>
      <c r="E35" s="29"/>
      <c r="F35" s="29"/>
      <c r="G35" s="29"/>
      <c r="H35" s="29"/>
      <c r="I35" s="29">
        <v>163518</v>
      </c>
      <c r="J35" s="29" t="s">
        <v>56</v>
      </c>
      <c r="K35" s="29"/>
      <c r="L35" s="29"/>
      <c r="M35" s="29"/>
      <c r="N35" s="29"/>
      <c r="O35" s="29"/>
      <c r="P35" s="29">
        <v>2</v>
      </c>
      <c r="R35" s="29"/>
      <c r="S35" s="29"/>
      <c r="T35" s="29"/>
      <c r="U35" s="29"/>
      <c r="V35" s="29"/>
      <c r="W35" s="29"/>
      <c r="X35" s="29"/>
      <c r="Y35" s="29"/>
      <c r="Z35" s="29">
        <v>166865</v>
      </c>
      <c r="AA35" s="29" t="s">
        <v>62</v>
      </c>
      <c r="AB35" s="29"/>
      <c r="AC35" s="29"/>
      <c r="AD35" s="29"/>
      <c r="AE35" s="29"/>
      <c r="AF35" s="29"/>
      <c r="AG35" s="29">
        <v>1</v>
      </c>
      <c r="AI35" s="29"/>
      <c r="AJ35" s="29"/>
      <c r="AK35" s="29"/>
      <c r="AL35" s="29"/>
      <c r="AM35" s="29"/>
      <c r="AN35" s="29"/>
      <c r="AO35" s="29"/>
      <c r="AP35" s="29"/>
      <c r="AQ35" s="29">
        <v>167677</v>
      </c>
      <c r="AR35" s="29" t="s">
        <v>64</v>
      </c>
      <c r="AS35" s="29"/>
      <c r="AT35" s="29"/>
      <c r="AU35" s="29"/>
      <c r="AV35" s="29"/>
      <c r="AW35" s="29"/>
      <c r="AX35" s="29">
        <v>1</v>
      </c>
      <c r="AZ35" s="29"/>
      <c r="BA35" s="29"/>
      <c r="BB35" s="29"/>
      <c r="BC35" s="29"/>
      <c r="BD35" s="29"/>
      <c r="BE35" s="29"/>
      <c r="BF35" s="29"/>
      <c r="BG35" s="29"/>
      <c r="BH35" s="29">
        <v>165864</v>
      </c>
      <c r="BI35" s="29" t="s">
        <v>60</v>
      </c>
      <c r="BJ35" s="29"/>
      <c r="BK35" s="29"/>
      <c r="BL35" s="29"/>
      <c r="BM35" s="29"/>
      <c r="BN35" s="29"/>
      <c r="BO35" s="29">
        <v>1</v>
      </c>
    </row>
    <row r="36" spans="1:67" x14ac:dyDescent="0.25">
      <c r="A36" s="29"/>
      <c r="B36" s="29"/>
      <c r="C36" s="29"/>
      <c r="D36" s="29"/>
      <c r="E36" s="29"/>
      <c r="F36" s="29"/>
      <c r="G36" s="29"/>
      <c r="H36" s="29"/>
      <c r="I36" s="29">
        <v>164839</v>
      </c>
      <c r="J36" s="29" t="s">
        <v>58</v>
      </c>
      <c r="K36" s="29"/>
      <c r="L36" s="29"/>
      <c r="M36" s="29"/>
      <c r="N36" s="29"/>
      <c r="O36" s="29"/>
      <c r="P36" s="29">
        <v>1</v>
      </c>
      <c r="R36" s="29"/>
      <c r="S36" s="29"/>
      <c r="T36" s="29"/>
      <c r="U36" s="29"/>
      <c r="V36" s="29"/>
      <c r="W36" s="29"/>
      <c r="X36" s="29"/>
      <c r="Y36" s="29"/>
      <c r="Z36" s="29">
        <v>167422</v>
      </c>
      <c r="AA36" s="29" t="s">
        <v>63</v>
      </c>
      <c r="AB36" s="29"/>
      <c r="AC36" s="29"/>
      <c r="AD36" s="29"/>
      <c r="AE36" s="29"/>
      <c r="AF36" s="29"/>
      <c r="AG36" s="29">
        <v>1</v>
      </c>
      <c r="AI36" s="28"/>
      <c r="AJ36" s="28"/>
      <c r="AK36" s="28"/>
      <c r="AL36" s="28"/>
      <c r="AM36" s="28"/>
      <c r="AN36" s="28"/>
      <c r="AO36" s="28"/>
      <c r="AP36" s="27">
        <v>6</v>
      </c>
      <c r="AQ36" s="28"/>
      <c r="AR36" s="28"/>
      <c r="AS36" s="28"/>
      <c r="AT36" s="28"/>
      <c r="AU36" s="28"/>
      <c r="AV36" s="28"/>
      <c r="AW36" s="28"/>
      <c r="AX36" s="27">
        <v>35</v>
      </c>
      <c r="AZ36" s="29"/>
      <c r="BA36" s="29"/>
      <c r="BB36" s="29"/>
      <c r="BC36" s="29"/>
      <c r="BD36" s="29"/>
      <c r="BE36" s="29"/>
      <c r="BF36" s="29"/>
      <c r="BG36" s="29"/>
      <c r="BH36" s="29">
        <v>166865</v>
      </c>
      <c r="BI36" s="29" t="s">
        <v>62</v>
      </c>
      <c r="BJ36" s="29"/>
      <c r="BK36" s="29"/>
      <c r="BL36" s="29"/>
      <c r="BM36" s="29"/>
      <c r="BN36" s="29"/>
      <c r="BO36" s="29">
        <v>1</v>
      </c>
    </row>
    <row r="37" spans="1:67" x14ac:dyDescent="0.25">
      <c r="A37" s="29"/>
      <c r="B37" s="29"/>
      <c r="C37" s="29"/>
      <c r="D37" s="29"/>
      <c r="E37" s="29"/>
      <c r="F37" s="29"/>
      <c r="G37" s="29"/>
      <c r="H37" s="29"/>
      <c r="I37" s="29">
        <v>165676</v>
      </c>
      <c r="J37" s="29" t="s">
        <v>59</v>
      </c>
      <c r="K37" s="29"/>
      <c r="L37" s="29"/>
      <c r="M37" s="29"/>
      <c r="N37" s="29"/>
      <c r="O37" s="29"/>
      <c r="P37" s="29">
        <v>1</v>
      </c>
      <c r="R37" s="29"/>
      <c r="S37" s="29"/>
      <c r="T37" s="29"/>
      <c r="U37" s="29"/>
      <c r="V37" s="29"/>
      <c r="W37" s="29"/>
      <c r="X37" s="29"/>
      <c r="Y37" s="29"/>
      <c r="Z37" s="29">
        <v>167677</v>
      </c>
      <c r="AA37" s="29" t="s">
        <v>64</v>
      </c>
      <c r="AB37" s="29"/>
      <c r="AC37" s="29"/>
      <c r="AD37" s="29"/>
      <c r="AE37" s="29"/>
      <c r="AF37" s="29"/>
      <c r="AG37" s="29">
        <v>1</v>
      </c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Z37" s="29"/>
      <c r="BA37" s="29"/>
      <c r="BB37" s="29"/>
      <c r="BC37" s="29"/>
      <c r="BD37" s="29"/>
      <c r="BE37" s="29"/>
      <c r="BF37" s="29"/>
      <c r="BG37" s="29"/>
      <c r="BH37" s="29">
        <v>167677</v>
      </c>
      <c r="BI37" s="29" t="s">
        <v>64</v>
      </c>
      <c r="BJ37" s="29"/>
      <c r="BK37" s="29"/>
      <c r="BL37" s="29"/>
      <c r="BM37" s="29"/>
      <c r="BN37" s="29"/>
      <c r="BO37" s="29">
        <v>1</v>
      </c>
    </row>
    <row r="38" spans="1:67" x14ac:dyDescent="0.25">
      <c r="A38" s="29"/>
      <c r="B38" s="29"/>
      <c r="C38" s="29"/>
      <c r="D38" s="29"/>
      <c r="E38" s="29"/>
      <c r="F38" s="29"/>
      <c r="G38" s="29"/>
      <c r="H38" s="29"/>
      <c r="I38" s="29">
        <v>165864</v>
      </c>
      <c r="J38" s="29" t="s">
        <v>60</v>
      </c>
      <c r="K38" s="29"/>
      <c r="L38" s="29"/>
      <c r="M38" s="29"/>
      <c r="N38" s="29"/>
      <c r="O38" s="29"/>
      <c r="P38" s="29">
        <v>1</v>
      </c>
      <c r="R38" s="28"/>
      <c r="S38" s="28"/>
      <c r="T38" s="28"/>
      <c r="U38" s="28"/>
      <c r="V38" s="28"/>
      <c r="W38" s="28"/>
      <c r="X38" s="28"/>
      <c r="Y38" s="27">
        <v>7</v>
      </c>
      <c r="Z38" s="28"/>
      <c r="AA38" s="28"/>
      <c r="AB38" s="28"/>
      <c r="AC38" s="28"/>
      <c r="AD38" s="28"/>
      <c r="AE38" s="28"/>
      <c r="AF38" s="28"/>
      <c r="AG38" s="27">
        <v>40</v>
      </c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Z38" s="29"/>
      <c r="BA38" s="29"/>
      <c r="BB38" s="29"/>
      <c r="BC38" s="29"/>
      <c r="BD38" s="29"/>
      <c r="BE38" s="29"/>
      <c r="BF38" s="29"/>
      <c r="BG38" s="29"/>
      <c r="BH38" s="29">
        <v>170309</v>
      </c>
      <c r="BI38" s="29" t="s">
        <v>65</v>
      </c>
      <c r="BJ38" s="29"/>
      <c r="BK38" s="29"/>
      <c r="BL38" s="29"/>
      <c r="BM38" s="29"/>
      <c r="BN38" s="29"/>
      <c r="BO38" s="29">
        <v>1</v>
      </c>
    </row>
    <row r="39" spans="1:67" x14ac:dyDescent="0.25">
      <c r="A39" s="29"/>
      <c r="B39" s="29"/>
      <c r="C39" s="29"/>
      <c r="D39" s="29"/>
      <c r="E39" s="29"/>
      <c r="F39" s="29"/>
      <c r="G39" s="29"/>
      <c r="H39" s="29"/>
      <c r="I39" s="29">
        <v>166838</v>
      </c>
      <c r="J39" s="29" t="s">
        <v>61</v>
      </c>
      <c r="K39" s="29"/>
      <c r="L39" s="29"/>
      <c r="M39" s="29"/>
      <c r="N39" s="29"/>
      <c r="O39" s="29"/>
      <c r="P39" s="29">
        <v>1</v>
      </c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Z39" s="28"/>
      <c r="BA39" s="28"/>
      <c r="BB39" s="28"/>
      <c r="BC39" s="28"/>
      <c r="BD39" s="28"/>
      <c r="BE39" s="28"/>
      <c r="BF39" s="28"/>
      <c r="BG39" s="27">
        <v>7</v>
      </c>
      <c r="BH39" s="28"/>
      <c r="BI39" s="28"/>
      <c r="BJ39" s="28"/>
      <c r="BK39" s="28"/>
      <c r="BL39" s="28"/>
      <c r="BM39" s="28"/>
      <c r="BN39" s="28"/>
      <c r="BO39" s="27">
        <v>40</v>
      </c>
    </row>
    <row r="40" spans="1:67" x14ac:dyDescent="0.25">
      <c r="A40" s="29"/>
      <c r="B40" s="29"/>
      <c r="C40" s="29"/>
      <c r="D40" s="29"/>
      <c r="E40" s="29"/>
      <c r="F40" s="29"/>
      <c r="G40" s="29"/>
      <c r="H40" s="29"/>
      <c r="I40" s="29">
        <v>166865</v>
      </c>
      <c r="J40" s="29" t="s">
        <v>62</v>
      </c>
      <c r="K40" s="29"/>
      <c r="L40" s="29"/>
      <c r="M40" s="29"/>
      <c r="N40" s="29"/>
      <c r="O40" s="29"/>
      <c r="P40" s="29">
        <v>1</v>
      </c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</row>
    <row r="41" spans="1:67" x14ac:dyDescent="0.25">
      <c r="A41" s="29"/>
      <c r="B41" s="29"/>
      <c r="C41" s="29"/>
      <c r="D41" s="29"/>
      <c r="E41" s="29"/>
      <c r="F41" s="29"/>
      <c r="G41" s="29"/>
      <c r="H41" s="29"/>
      <c r="I41" s="29">
        <v>167422</v>
      </c>
      <c r="J41" s="29" t="s">
        <v>63</v>
      </c>
      <c r="K41" s="29"/>
      <c r="L41" s="29"/>
      <c r="M41" s="29"/>
      <c r="N41" s="29"/>
      <c r="O41" s="29"/>
      <c r="P41" s="29">
        <v>1</v>
      </c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</row>
    <row r="42" spans="1:67" x14ac:dyDescent="0.25">
      <c r="A42" s="29"/>
      <c r="B42" s="29"/>
      <c r="C42" s="29"/>
      <c r="D42" s="29"/>
      <c r="E42" s="29"/>
      <c r="F42" s="29"/>
      <c r="G42" s="29"/>
      <c r="H42" s="29"/>
      <c r="I42" s="29">
        <v>167677</v>
      </c>
      <c r="J42" s="29" t="s">
        <v>64</v>
      </c>
      <c r="K42" s="29"/>
      <c r="L42" s="29"/>
      <c r="M42" s="29"/>
      <c r="N42" s="29"/>
      <c r="O42" s="29"/>
      <c r="P42" s="29">
        <v>1</v>
      </c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</row>
    <row r="43" spans="1:67" x14ac:dyDescent="0.25">
      <c r="A43" s="29"/>
      <c r="B43" s="29"/>
      <c r="C43" s="29"/>
      <c r="D43" s="29"/>
      <c r="E43" s="29"/>
      <c r="F43" s="29"/>
      <c r="G43" s="29"/>
      <c r="H43" s="29"/>
      <c r="I43" s="29">
        <v>170309</v>
      </c>
      <c r="J43" s="29" t="s">
        <v>65</v>
      </c>
      <c r="K43" s="29"/>
      <c r="L43" s="29"/>
      <c r="M43" s="29"/>
      <c r="N43" s="29"/>
      <c r="O43" s="29"/>
      <c r="P43" s="29">
        <v>1</v>
      </c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</row>
    <row r="44" spans="1:67" x14ac:dyDescent="0.25">
      <c r="A44" s="28"/>
      <c r="B44" s="28"/>
      <c r="C44" s="28"/>
      <c r="D44" s="28"/>
      <c r="E44" s="28"/>
      <c r="F44" s="28"/>
      <c r="G44" s="28"/>
      <c r="H44" s="27">
        <v>7</v>
      </c>
      <c r="I44" s="28"/>
      <c r="J44" s="28"/>
      <c r="K44" s="28"/>
      <c r="L44" s="28"/>
      <c r="M44" s="28"/>
      <c r="N44" s="28"/>
      <c r="O44" s="28"/>
      <c r="P44" s="27">
        <v>45</v>
      </c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</row>
    <row r="45" spans="1:67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</row>
    <row r="46" spans="1:67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</row>
    <row r="47" spans="1:67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</row>
    <row r="48" spans="1:67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</row>
    <row r="49" spans="1:67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</row>
    <row r="50" spans="1:67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</row>
    <row r="51" spans="1:67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</row>
    <row r="52" spans="1:67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</row>
    <row r="53" spans="1:67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</row>
    <row r="54" spans="1:67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</row>
    <row r="55" spans="1:67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</row>
    <row r="56" spans="1:67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</row>
    <row r="57" spans="1:67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</row>
    <row r="58" spans="1:67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</row>
    <row r="59" spans="1:67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</row>
    <row r="60" spans="1:67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</row>
    <row r="61" spans="1:67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</row>
    <row r="62" spans="1:67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</row>
    <row r="63" spans="1:67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</row>
    <row r="64" spans="1:67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</row>
    <row r="65" spans="1:67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</row>
    <row r="66" spans="1:67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</row>
    <row r="67" spans="1:67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</row>
    <row r="68" spans="1:67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</row>
    <row r="69" spans="1:67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</row>
    <row r="70" spans="1:67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</row>
    <row r="71" spans="1:67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</row>
    <row r="72" spans="1:67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</row>
    <row r="73" spans="1:67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</row>
    <row r="74" spans="1:67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</row>
    <row r="75" spans="1:67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</row>
    <row r="76" spans="1:67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</row>
    <row r="77" spans="1:67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</row>
    <row r="78" spans="1:67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</row>
    <row r="79" spans="1:67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</row>
    <row r="80" spans="1:67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</row>
  </sheetData>
  <mergeCells count="12">
    <mergeCell ref="AI1:AX1"/>
    <mergeCell ref="AI2:AP2"/>
    <mergeCell ref="AQ2:AX2"/>
    <mergeCell ref="AZ1:BO1"/>
    <mergeCell ref="AZ2:BG2"/>
    <mergeCell ref="BH2:BO2"/>
    <mergeCell ref="A1:P1"/>
    <mergeCell ref="A2:H2"/>
    <mergeCell ref="I2:P2"/>
    <mergeCell ref="R1:AG1"/>
    <mergeCell ref="R2:Y2"/>
    <mergeCell ref="Z2:A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40"/>
  <sheetViews>
    <sheetView tabSelected="1" zoomScale="40" zoomScaleNormal="40" workbookViewId="0">
      <selection activeCell="Z43" sqref="Z43"/>
    </sheetView>
  </sheetViews>
  <sheetFormatPr baseColWidth="10" defaultColWidth="9.140625" defaultRowHeight="15" x14ac:dyDescent="0.25"/>
  <cols>
    <col min="1" max="1" width="16.140625" customWidth="1"/>
    <col min="2" max="2" width="44" customWidth="1"/>
    <col min="3" max="3" width="16.140625" customWidth="1"/>
    <col min="4" max="4" width="45.5703125" customWidth="1"/>
    <col min="5" max="5" width="16.140625" customWidth="1"/>
    <col min="6" max="6" width="45.5703125" customWidth="1"/>
    <col min="7" max="12" width="16.140625" customWidth="1"/>
    <col min="14" max="14" width="13.28515625" customWidth="1"/>
    <col min="15" max="15" width="16.28515625" customWidth="1"/>
  </cols>
  <sheetData>
    <row r="1" spans="1:12" x14ac:dyDescent="0.25">
      <c r="A1" s="1" t="s">
        <v>0</v>
      </c>
      <c r="B1" s="2" t="s">
        <v>1</v>
      </c>
      <c r="C1" s="3" t="s">
        <v>2</v>
      </c>
      <c r="D1" s="4" t="s">
        <v>3</v>
      </c>
      <c r="E1" s="3" t="s">
        <v>4</v>
      </c>
      <c r="F1" s="3" t="s">
        <v>5</v>
      </c>
      <c r="G1" s="3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</row>
    <row r="2" spans="1:12" x14ac:dyDescent="0.25">
      <c r="A2" s="6">
        <v>132858</v>
      </c>
      <c r="B2" s="6" t="s">
        <v>12</v>
      </c>
      <c r="C2" s="6"/>
      <c r="D2" s="6">
        <v>1</v>
      </c>
      <c r="E2" s="6"/>
      <c r="F2" s="6">
        <v>1</v>
      </c>
      <c r="G2" s="12">
        <v>2</v>
      </c>
      <c r="H2" s="8">
        <v>1</v>
      </c>
      <c r="I2" s="8"/>
      <c r="J2" s="8"/>
      <c r="K2" s="8">
        <v>1</v>
      </c>
      <c r="L2" s="12">
        <v>2</v>
      </c>
    </row>
    <row r="3" spans="1:12" x14ac:dyDescent="0.25">
      <c r="A3" s="6">
        <v>135293</v>
      </c>
      <c r="B3" s="6" t="s">
        <v>13</v>
      </c>
      <c r="C3" s="6"/>
      <c r="D3" s="6"/>
      <c r="E3" s="6"/>
      <c r="F3" s="6"/>
      <c r="G3" s="12">
        <v>0</v>
      </c>
      <c r="H3" s="7">
        <v>1</v>
      </c>
      <c r="I3" s="7">
        <v>1</v>
      </c>
      <c r="J3" s="7">
        <v>1</v>
      </c>
      <c r="K3" s="7"/>
      <c r="L3" s="12">
        <v>3</v>
      </c>
    </row>
    <row r="4" spans="1:12" x14ac:dyDescent="0.25">
      <c r="A4" s="6">
        <v>136072</v>
      </c>
      <c r="B4" s="6" t="s">
        <v>14</v>
      </c>
      <c r="C4" s="6"/>
      <c r="D4" s="6"/>
      <c r="E4" s="6"/>
      <c r="F4" s="6"/>
      <c r="G4" s="12">
        <v>0</v>
      </c>
      <c r="H4" s="8">
        <v>1</v>
      </c>
      <c r="I4" s="8">
        <v>1</v>
      </c>
      <c r="J4" s="8">
        <v>1</v>
      </c>
      <c r="K4" s="8"/>
      <c r="L4" s="12">
        <v>3</v>
      </c>
    </row>
    <row r="5" spans="1:12" x14ac:dyDescent="0.25">
      <c r="A5" s="6">
        <v>142565</v>
      </c>
      <c r="B5" s="6" t="s">
        <v>15</v>
      </c>
      <c r="C5" s="6"/>
      <c r="D5" s="6"/>
      <c r="E5" s="6"/>
      <c r="F5" s="6"/>
      <c r="G5" s="12">
        <v>0</v>
      </c>
      <c r="H5" s="7">
        <v>1</v>
      </c>
      <c r="I5" s="7">
        <v>1</v>
      </c>
      <c r="J5" s="7"/>
      <c r="K5" s="7">
        <v>1</v>
      </c>
      <c r="L5" s="12">
        <v>3</v>
      </c>
    </row>
    <row r="6" spans="1:12" x14ac:dyDescent="0.25">
      <c r="A6" s="6">
        <v>142949</v>
      </c>
      <c r="B6" s="6" t="s">
        <v>16</v>
      </c>
      <c r="C6" s="6"/>
      <c r="D6" s="6"/>
      <c r="E6" s="6"/>
      <c r="F6" s="6"/>
      <c r="G6" s="12">
        <v>0</v>
      </c>
      <c r="H6" s="8">
        <v>1</v>
      </c>
      <c r="I6" s="8">
        <v>1</v>
      </c>
      <c r="J6" s="8">
        <v>1</v>
      </c>
      <c r="K6" s="8"/>
      <c r="L6" s="12">
        <v>3</v>
      </c>
    </row>
    <row r="7" spans="1:12" x14ac:dyDescent="0.25">
      <c r="A7" s="6">
        <v>142958</v>
      </c>
      <c r="B7" s="6" t="s">
        <v>17</v>
      </c>
      <c r="C7" s="6"/>
      <c r="D7" s="6"/>
      <c r="E7" s="6"/>
      <c r="F7" s="6"/>
      <c r="G7" s="12">
        <v>0</v>
      </c>
      <c r="H7" s="7">
        <v>1</v>
      </c>
      <c r="I7" s="7">
        <v>1</v>
      </c>
      <c r="J7" s="7"/>
      <c r="K7" s="7"/>
      <c r="L7" s="12">
        <v>2</v>
      </c>
    </row>
    <row r="8" spans="1:12" x14ac:dyDescent="0.25">
      <c r="A8" s="6">
        <v>143194</v>
      </c>
      <c r="B8" s="6" t="s">
        <v>18</v>
      </c>
      <c r="C8" s="6"/>
      <c r="D8" s="6">
        <v>1</v>
      </c>
      <c r="E8" s="6"/>
      <c r="F8" s="6">
        <v>1</v>
      </c>
      <c r="G8" s="12">
        <v>2</v>
      </c>
      <c r="H8" s="8">
        <v>1</v>
      </c>
      <c r="I8" s="8">
        <v>1</v>
      </c>
      <c r="J8" s="8"/>
      <c r="K8" s="8">
        <v>1</v>
      </c>
      <c r="L8" s="12">
        <v>3</v>
      </c>
    </row>
    <row r="9" spans="1:12" x14ac:dyDescent="0.25">
      <c r="A9" s="6">
        <v>144204</v>
      </c>
      <c r="B9" s="6" t="s">
        <v>19</v>
      </c>
      <c r="C9" s="6">
        <v>1</v>
      </c>
      <c r="D9" s="6"/>
      <c r="E9" s="6"/>
      <c r="F9" s="6"/>
      <c r="G9" s="12">
        <v>1</v>
      </c>
      <c r="H9" s="7">
        <v>1</v>
      </c>
      <c r="I9" s="7"/>
      <c r="J9" s="7">
        <v>1</v>
      </c>
      <c r="K9" s="7"/>
      <c r="L9" s="12">
        <v>2</v>
      </c>
    </row>
    <row r="10" spans="1:12" x14ac:dyDescent="0.25">
      <c r="A10" s="6">
        <v>144281</v>
      </c>
      <c r="B10" s="6" t="s">
        <v>20</v>
      </c>
      <c r="C10" s="6"/>
      <c r="D10" s="6"/>
      <c r="E10" s="6"/>
      <c r="F10" s="6"/>
      <c r="G10" s="12">
        <v>0</v>
      </c>
      <c r="H10" s="8">
        <v>1</v>
      </c>
      <c r="I10" s="8">
        <v>1</v>
      </c>
      <c r="J10" s="8">
        <v>1</v>
      </c>
      <c r="K10" s="8">
        <v>2</v>
      </c>
      <c r="L10" s="12">
        <v>5</v>
      </c>
    </row>
    <row r="11" spans="1:12" x14ac:dyDescent="0.25">
      <c r="A11" s="6">
        <v>144794</v>
      </c>
      <c r="B11" s="6" t="s">
        <v>21</v>
      </c>
      <c r="C11" s="6"/>
      <c r="D11" s="6"/>
      <c r="E11" s="6"/>
      <c r="F11" s="6"/>
      <c r="G11" s="12">
        <v>0</v>
      </c>
      <c r="H11" s="7">
        <v>1</v>
      </c>
      <c r="I11" s="7"/>
      <c r="J11" s="7">
        <v>1</v>
      </c>
      <c r="K11" s="7"/>
      <c r="L11" s="12">
        <v>2</v>
      </c>
    </row>
    <row r="12" spans="1:12" x14ac:dyDescent="0.25">
      <c r="A12" s="6">
        <v>146162</v>
      </c>
      <c r="B12" s="6" t="s">
        <v>22</v>
      </c>
      <c r="C12" s="6"/>
      <c r="D12" s="6"/>
      <c r="E12" s="6"/>
      <c r="F12" s="6"/>
      <c r="G12" s="12">
        <v>0</v>
      </c>
      <c r="H12" s="8">
        <v>1</v>
      </c>
      <c r="I12" s="8">
        <v>1</v>
      </c>
      <c r="J12" s="8">
        <v>1</v>
      </c>
      <c r="K12" s="8">
        <v>1</v>
      </c>
      <c r="L12" s="12">
        <v>4</v>
      </c>
    </row>
    <row r="13" spans="1:12" x14ac:dyDescent="0.25">
      <c r="A13" s="6">
        <v>147384</v>
      </c>
      <c r="B13" s="6" t="s">
        <v>23</v>
      </c>
      <c r="C13" s="6"/>
      <c r="D13" s="6"/>
      <c r="E13" s="6"/>
      <c r="F13" s="6"/>
      <c r="G13" s="12">
        <v>0</v>
      </c>
      <c r="H13" s="7">
        <v>1</v>
      </c>
      <c r="I13" s="7"/>
      <c r="J13" s="7">
        <v>1</v>
      </c>
      <c r="K13" s="7"/>
      <c r="L13" s="12">
        <v>2</v>
      </c>
    </row>
    <row r="14" spans="1:12" x14ac:dyDescent="0.25">
      <c r="A14" s="6">
        <v>148561</v>
      </c>
      <c r="B14" s="6" t="s">
        <v>24</v>
      </c>
      <c r="C14" s="6"/>
      <c r="D14" s="6"/>
      <c r="E14" s="6">
        <v>1</v>
      </c>
      <c r="F14" s="6"/>
      <c r="G14" s="12">
        <v>1</v>
      </c>
      <c r="H14" s="8">
        <v>1</v>
      </c>
      <c r="I14" s="8">
        <v>1</v>
      </c>
      <c r="J14" s="8">
        <v>1</v>
      </c>
      <c r="K14" s="8">
        <v>1</v>
      </c>
      <c r="L14" s="12">
        <v>4</v>
      </c>
    </row>
    <row r="15" spans="1:12" x14ac:dyDescent="0.25">
      <c r="A15" s="6">
        <v>149827</v>
      </c>
      <c r="B15" s="6" t="s">
        <v>25</v>
      </c>
      <c r="C15" s="6"/>
      <c r="D15" s="6"/>
      <c r="E15" s="6"/>
      <c r="F15" s="6"/>
      <c r="G15" s="12">
        <v>0</v>
      </c>
      <c r="H15" s="7">
        <v>1</v>
      </c>
      <c r="I15" s="7"/>
      <c r="J15" s="7"/>
      <c r="K15" s="7">
        <v>1</v>
      </c>
      <c r="L15" s="12">
        <v>2</v>
      </c>
    </row>
    <row r="16" spans="1:12" x14ac:dyDescent="0.25">
      <c r="A16" s="6">
        <v>150482</v>
      </c>
      <c r="B16" s="6" t="s">
        <v>26</v>
      </c>
      <c r="C16" s="6">
        <v>1</v>
      </c>
      <c r="D16" s="6">
        <v>1</v>
      </c>
      <c r="E16" s="6"/>
      <c r="F16" s="6"/>
      <c r="G16" s="12">
        <v>2</v>
      </c>
      <c r="H16" s="8"/>
      <c r="I16" s="8">
        <v>1</v>
      </c>
      <c r="J16" s="8">
        <v>1</v>
      </c>
      <c r="K16" s="8"/>
      <c r="L16" s="12">
        <v>2</v>
      </c>
    </row>
    <row r="17" spans="1:12" x14ac:dyDescent="0.25">
      <c r="A17" s="6">
        <v>150640</v>
      </c>
      <c r="B17" s="6" t="s">
        <v>27</v>
      </c>
      <c r="C17" s="6">
        <v>1</v>
      </c>
      <c r="D17" s="6"/>
      <c r="E17" s="6">
        <v>1</v>
      </c>
      <c r="F17" s="6"/>
      <c r="G17" s="12">
        <v>2</v>
      </c>
      <c r="H17" s="7"/>
      <c r="I17" s="7"/>
      <c r="J17" s="7">
        <v>1</v>
      </c>
      <c r="K17" s="7">
        <v>1</v>
      </c>
      <c r="L17" s="12">
        <v>2</v>
      </c>
    </row>
    <row r="18" spans="1:12" x14ac:dyDescent="0.25">
      <c r="A18" s="6">
        <v>150903</v>
      </c>
      <c r="B18" s="6" t="s">
        <v>28</v>
      </c>
      <c r="C18" s="6"/>
      <c r="D18" s="6"/>
      <c r="E18" s="6"/>
      <c r="F18" s="6"/>
      <c r="G18" s="12">
        <v>0</v>
      </c>
      <c r="H18" s="8">
        <v>1</v>
      </c>
      <c r="I18" s="8"/>
      <c r="J18" s="8">
        <v>1</v>
      </c>
      <c r="K18" s="8"/>
      <c r="L18" s="12">
        <v>2</v>
      </c>
    </row>
    <row r="19" spans="1:12" x14ac:dyDescent="0.25">
      <c r="A19" s="6">
        <v>150908</v>
      </c>
      <c r="B19" s="6" t="s">
        <v>29</v>
      </c>
      <c r="C19" s="6"/>
      <c r="D19" s="6"/>
      <c r="E19" s="6"/>
      <c r="F19" s="6"/>
      <c r="G19" s="12">
        <v>0</v>
      </c>
      <c r="H19" s="7">
        <v>1</v>
      </c>
      <c r="I19" s="7">
        <v>1</v>
      </c>
      <c r="J19" s="7">
        <v>1</v>
      </c>
      <c r="K19" s="7">
        <v>1</v>
      </c>
      <c r="L19" s="12">
        <v>4</v>
      </c>
    </row>
    <row r="20" spans="1:12" x14ac:dyDescent="0.25">
      <c r="A20" s="6">
        <v>151362</v>
      </c>
      <c r="B20" s="6" t="s">
        <v>30</v>
      </c>
      <c r="C20" s="6"/>
      <c r="D20" s="6"/>
      <c r="E20" s="6"/>
      <c r="F20" s="6"/>
      <c r="G20" s="12">
        <v>0</v>
      </c>
      <c r="H20" s="8">
        <v>1</v>
      </c>
      <c r="I20" s="8"/>
      <c r="J20" s="8">
        <v>1</v>
      </c>
      <c r="K20" s="8"/>
      <c r="L20" s="12">
        <v>2</v>
      </c>
    </row>
    <row r="21" spans="1:12" x14ac:dyDescent="0.25">
      <c r="A21" s="6">
        <v>151675</v>
      </c>
      <c r="B21" s="6" t="s">
        <v>31</v>
      </c>
      <c r="C21" s="6"/>
      <c r="D21" s="6">
        <v>1</v>
      </c>
      <c r="E21" s="6">
        <v>1</v>
      </c>
      <c r="F21" s="6"/>
      <c r="G21" s="12">
        <v>2</v>
      </c>
      <c r="H21" s="7"/>
      <c r="I21" s="7">
        <v>1</v>
      </c>
      <c r="J21" s="7">
        <v>1</v>
      </c>
      <c r="K21" s="7">
        <v>1</v>
      </c>
      <c r="L21" s="12">
        <v>3</v>
      </c>
    </row>
    <row r="22" spans="1:12" x14ac:dyDescent="0.25">
      <c r="A22" s="6">
        <v>151694</v>
      </c>
      <c r="B22" s="6" t="s">
        <v>32</v>
      </c>
      <c r="C22" s="6"/>
      <c r="D22" s="6"/>
      <c r="E22" s="6">
        <v>1</v>
      </c>
      <c r="F22" s="6"/>
      <c r="G22" s="12">
        <v>1</v>
      </c>
      <c r="H22" s="8"/>
      <c r="I22" s="8">
        <v>1</v>
      </c>
      <c r="J22" s="8"/>
      <c r="K22" s="8"/>
      <c r="L22" s="12">
        <v>1</v>
      </c>
    </row>
    <row r="23" spans="1:12" x14ac:dyDescent="0.25">
      <c r="A23" s="6">
        <v>151725</v>
      </c>
      <c r="B23" s="6" t="s">
        <v>33</v>
      </c>
      <c r="C23" s="6"/>
      <c r="D23" s="6"/>
      <c r="E23" s="6"/>
      <c r="F23" s="6"/>
      <c r="G23" s="12">
        <v>0</v>
      </c>
      <c r="H23" s="7"/>
      <c r="I23" s="7">
        <v>1</v>
      </c>
      <c r="J23" s="7">
        <v>1</v>
      </c>
      <c r="K23" s="7"/>
      <c r="L23" s="12">
        <v>2</v>
      </c>
    </row>
    <row r="24" spans="1:12" x14ac:dyDescent="0.25">
      <c r="A24" s="6">
        <v>151750</v>
      </c>
      <c r="B24" s="6" t="s">
        <v>34</v>
      </c>
      <c r="C24" s="6"/>
      <c r="D24" s="6"/>
      <c r="E24" s="6"/>
      <c r="F24" s="6"/>
      <c r="G24" s="12">
        <v>0</v>
      </c>
      <c r="H24" s="8">
        <v>1</v>
      </c>
      <c r="I24" s="8">
        <v>1</v>
      </c>
      <c r="J24" s="8">
        <v>1</v>
      </c>
      <c r="K24" s="8">
        <v>1</v>
      </c>
      <c r="L24" s="12">
        <v>4</v>
      </c>
    </row>
    <row r="25" spans="1:12" x14ac:dyDescent="0.25">
      <c r="A25" s="6">
        <v>151775</v>
      </c>
      <c r="B25" s="6" t="s">
        <v>35</v>
      </c>
      <c r="C25" s="6"/>
      <c r="D25" s="6"/>
      <c r="E25" s="6"/>
      <c r="F25" s="6"/>
      <c r="G25" s="12">
        <v>0</v>
      </c>
      <c r="H25" s="7">
        <v>1</v>
      </c>
      <c r="I25" s="7">
        <v>1</v>
      </c>
      <c r="J25" s="7"/>
      <c r="K25" s="7">
        <v>1</v>
      </c>
      <c r="L25" s="12">
        <v>3</v>
      </c>
    </row>
    <row r="26" spans="1:12" x14ac:dyDescent="0.25">
      <c r="A26" s="6">
        <v>151944</v>
      </c>
      <c r="B26" s="6" t="s">
        <v>36</v>
      </c>
      <c r="C26" s="6"/>
      <c r="D26" s="6"/>
      <c r="E26" s="6"/>
      <c r="F26" s="6"/>
      <c r="G26" s="12">
        <v>0</v>
      </c>
      <c r="H26" s="8"/>
      <c r="I26" s="8">
        <v>1</v>
      </c>
      <c r="J26" s="8">
        <v>1</v>
      </c>
      <c r="K26" s="8">
        <v>1</v>
      </c>
      <c r="L26" s="12">
        <v>3</v>
      </c>
    </row>
    <row r="27" spans="1:12" x14ac:dyDescent="0.25">
      <c r="A27" s="6">
        <v>151948</v>
      </c>
      <c r="B27" s="6" t="s">
        <v>37</v>
      </c>
      <c r="C27" s="6"/>
      <c r="D27" s="6"/>
      <c r="E27" s="6"/>
      <c r="F27" s="6"/>
      <c r="G27" s="12">
        <v>0</v>
      </c>
      <c r="H27" s="7">
        <v>1</v>
      </c>
      <c r="I27" s="7">
        <v>1</v>
      </c>
      <c r="J27" s="7">
        <v>1</v>
      </c>
      <c r="K27" s="7">
        <v>2</v>
      </c>
      <c r="L27" s="12">
        <v>5</v>
      </c>
    </row>
    <row r="28" spans="1:12" x14ac:dyDescent="0.25">
      <c r="A28" s="6">
        <v>153033</v>
      </c>
      <c r="B28" s="6" t="s">
        <v>38</v>
      </c>
      <c r="C28" s="6"/>
      <c r="D28" s="6"/>
      <c r="E28" s="6"/>
      <c r="F28" s="6">
        <v>1</v>
      </c>
      <c r="G28" s="12">
        <v>1</v>
      </c>
      <c r="H28" s="8">
        <v>1</v>
      </c>
      <c r="I28" s="8">
        <v>1</v>
      </c>
      <c r="J28" s="8">
        <v>1</v>
      </c>
      <c r="K28" s="8">
        <v>1</v>
      </c>
      <c r="L28" s="12">
        <v>4</v>
      </c>
    </row>
    <row r="29" spans="1:12" x14ac:dyDescent="0.25">
      <c r="A29" s="6">
        <v>153135</v>
      </c>
      <c r="B29" s="6" t="s">
        <v>39</v>
      </c>
      <c r="C29" s="6">
        <v>1</v>
      </c>
      <c r="D29" s="6"/>
      <c r="E29" s="6"/>
      <c r="F29" s="6">
        <v>1</v>
      </c>
      <c r="G29" s="12">
        <v>2</v>
      </c>
      <c r="H29" s="7">
        <v>1</v>
      </c>
      <c r="I29" s="7">
        <v>1</v>
      </c>
      <c r="J29" s="7">
        <v>1</v>
      </c>
      <c r="K29" s="7">
        <v>1</v>
      </c>
      <c r="L29" s="12">
        <v>4</v>
      </c>
    </row>
    <row r="30" spans="1:12" x14ac:dyDescent="0.25">
      <c r="A30" s="6">
        <v>153552</v>
      </c>
      <c r="B30" s="6" t="s">
        <v>40</v>
      </c>
      <c r="C30" s="6">
        <v>1</v>
      </c>
      <c r="D30" s="6">
        <v>1</v>
      </c>
      <c r="E30" s="6"/>
      <c r="F30" s="6"/>
      <c r="G30" s="12">
        <v>2</v>
      </c>
      <c r="H30" s="8">
        <v>1</v>
      </c>
      <c r="I30" s="8"/>
      <c r="J30" s="8">
        <v>1</v>
      </c>
      <c r="K30" s="8"/>
      <c r="L30" s="12">
        <v>2</v>
      </c>
    </row>
    <row r="31" spans="1:12" x14ac:dyDescent="0.25">
      <c r="A31" s="6">
        <v>154328</v>
      </c>
      <c r="B31" s="6" t="s">
        <v>41</v>
      </c>
      <c r="C31" s="6"/>
      <c r="D31" s="6"/>
      <c r="E31" s="6"/>
      <c r="F31" s="6"/>
      <c r="G31" s="12">
        <v>0</v>
      </c>
      <c r="H31" s="7">
        <v>1</v>
      </c>
      <c r="I31" s="7">
        <v>1</v>
      </c>
      <c r="J31" s="7">
        <v>1</v>
      </c>
      <c r="K31" s="7"/>
      <c r="L31" s="12">
        <v>3</v>
      </c>
    </row>
    <row r="32" spans="1:12" x14ac:dyDescent="0.25">
      <c r="A32" s="6">
        <v>154630</v>
      </c>
      <c r="B32" s="6" t="s">
        <v>42</v>
      </c>
      <c r="C32" s="6"/>
      <c r="D32" s="6"/>
      <c r="E32" s="6"/>
      <c r="F32" s="6"/>
      <c r="G32" s="12">
        <v>0</v>
      </c>
      <c r="H32" s="8"/>
      <c r="I32" s="8">
        <v>1</v>
      </c>
      <c r="J32" s="8">
        <v>1</v>
      </c>
      <c r="K32" s="8">
        <v>1</v>
      </c>
      <c r="L32" s="12">
        <v>3</v>
      </c>
    </row>
    <row r="33" spans="1:16" x14ac:dyDescent="0.25">
      <c r="A33" s="6">
        <v>155614</v>
      </c>
      <c r="B33" s="6" t="s">
        <v>43</v>
      </c>
      <c r="C33" s="6"/>
      <c r="D33" s="6"/>
      <c r="E33" s="6"/>
      <c r="F33" s="6"/>
      <c r="G33" s="12">
        <v>0</v>
      </c>
      <c r="H33" s="7">
        <v>1</v>
      </c>
      <c r="I33" s="7"/>
      <c r="J33" s="7">
        <v>1</v>
      </c>
      <c r="K33" s="7"/>
      <c r="L33" s="12">
        <v>2</v>
      </c>
    </row>
    <row r="34" spans="1:16" x14ac:dyDescent="0.25">
      <c r="A34" s="6">
        <v>155681</v>
      </c>
      <c r="B34" s="6" t="s">
        <v>44</v>
      </c>
      <c r="C34" s="6"/>
      <c r="D34" s="6"/>
      <c r="E34" s="6"/>
      <c r="F34" s="6"/>
      <c r="G34" s="12">
        <v>0</v>
      </c>
      <c r="H34" s="8">
        <v>1</v>
      </c>
      <c r="I34" s="8"/>
      <c r="J34" s="8"/>
      <c r="K34" s="8">
        <v>1</v>
      </c>
      <c r="L34" s="12">
        <v>2</v>
      </c>
    </row>
    <row r="35" spans="1:16" x14ac:dyDescent="0.25">
      <c r="A35" s="6">
        <v>155890</v>
      </c>
      <c r="B35" s="6" t="s">
        <v>45</v>
      </c>
      <c r="C35" s="6"/>
      <c r="D35" s="6">
        <v>1</v>
      </c>
      <c r="E35" s="6"/>
      <c r="F35" s="6"/>
      <c r="G35" s="12">
        <v>1</v>
      </c>
      <c r="H35" s="7">
        <v>1</v>
      </c>
      <c r="I35" s="7">
        <v>1</v>
      </c>
      <c r="J35" s="7"/>
      <c r="K35" s="7"/>
      <c r="L35" s="12">
        <v>2</v>
      </c>
    </row>
    <row r="36" spans="1:16" x14ac:dyDescent="0.25">
      <c r="A36" s="6">
        <v>157048</v>
      </c>
      <c r="B36" s="6" t="s">
        <v>46</v>
      </c>
      <c r="C36" s="6"/>
      <c r="D36" s="6"/>
      <c r="E36" s="6"/>
      <c r="F36" s="6"/>
      <c r="G36" s="12">
        <v>0</v>
      </c>
      <c r="H36" s="8"/>
      <c r="I36" s="8">
        <v>1</v>
      </c>
      <c r="J36" s="8"/>
      <c r="K36" s="8">
        <v>1</v>
      </c>
      <c r="L36" s="12">
        <v>2</v>
      </c>
    </row>
    <row r="37" spans="1:16" x14ac:dyDescent="0.25">
      <c r="A37" s="6">
        <v>157159</v>
      </c>
      <c r="B37" s="6" t="s">
        <v>47</v>
      </c>
      <c r="C37" s="6"/>
      <c r="D37" s="6"/>
      <c r="E37" s="6"/>
      <c r="F37" s="6"/>
      <c r="G37" s="12">
        <v>0</v>
      </c>
      <c r="H37" s="7">
        <v>1</v>
      </c>
      <c r="I37" s="7">
        <v>1</v>
      </c>
      <c r="J37" s="7">
        <v>1</v>
      </c>
      <c r="K37" s="7">
        <v>1</v>
      </c>
      <c r="L37" s="12">
        <v>4</v>
      </c>
    </row>
    <row r="38" spans="1:16" x14ac:dyDescent="0.25">
      <c r="A38" s="6">
        <v>157437</v>
      </c>
      <c r="B38" s="6" t="s">
        <v>48</v>
      </c>
      <c r="C38" s="6"/>
      <c r="D38" s="6"/>
      <c r="E38" s="6"/>
      <c r="F38" s="6"/>
      <c r="G38" s="12">
        <v>0</v>
      </c>
      <c r="H38" s="8">
        <v>1</v>
      </c>
      <c r="I38" s="8">
        <v>2</v>
      </c>
      <c r="J38" s="8"/>
      <c r="K38" s="8">
        <v>2</v>
      </c>
      <c r="L38" s="12">
        <v>5</v>
      </c>
    </row>
    <row r="39" spans="1:16" x14ac:dyDescent="0.25">
      <c r="A39" s="6">
        <v>157540</v>
      </c>
      <c r="B39" s="6" t="s">
        <v>49</v>
      </c>
      <c r="C39" s="6"/>
      <c r="D39" s="6"/>
      <c r="E39" s="6">
        <v>1</v>
      </c>
      <c r="F39" s="6"/>
      <c r="G39" s="12">
        <v>1</v>
      </c>
      <c r="H39" s="7"/>
      <c r="I39" s="7">
        <v>1</v>
      </c>
      <c r="J39" s="7">
        <v>1</v>
      </c>
      <c r="K39" s="7">
        <v>1</v>
      </c>
      <c r="L39" s="12">
        <v>3</v>
      </c>
    </row>
    <row r="40" spans="1:16" x14ac:dyDescent="0.25">
      <c r="A40" s="6">
        <v>157613</v>
      </c>
      <c r="B40" s="6" t="s">
        <v>50</v>
      </c>
      <c r="C40" s="6"/>
      <c r="D40" s="6"/>
      <c r="E40" s="6"/>
      <c r="F40" s="6"/>
      <c r="G40" s="12">
        <v>0</v>
      </c>
      <c r="H40" s="8">
        <v>1</v>
      </c>
      <c r="I40" s="8"/>
      <c r="J40" s="8">
        <v>1</v>
      </c>
      <c r="K40" s="8"/>
      <c r="L40" s="12">
        <v>2</v>
      </c>
    </row>
    <row r="41" spans="1:16" x14ac:dyDescent="0.25">
      <c r="A41" s="6">
        <v>157803</v>
      </c>
      <c r="B41" s="6" t="s">
        <v>51</v>
      </c>
      <c r="C41" s="6">
        <v>1</v>
      </c>
      <c r="D41" s="6"/>
      <c r="E41" s="6">
        <v>1</v>
      </c>
      <c r="F41" s="6"/>
      <c r="G41" s="12">
        <v>2</v>
      </c>
      <c r="H41" s="7">
        <v>1</v>
      </c>
      <c r="I41" s="7"/>
      <c r="J41" s="7">
        <v>1</v>
      </c>
      <c r="K41" s="7"/>
      <c r="L41" s="12">
        <v>2</v>
      </c>
    </row>
    <row r="42" spans="1:16" x14ac:dyDescent="0.25">
      <c r="A42" s="6">
        <v>158160</v>
      </c>
      <c r="B42" s="6" t="s">
        <v>52</v>
      </c>
      <c r="C42" s="6">
        <v>1</v>
      </c>
      <c r="D42" s="6"/>
      <c r="E42" s="6"/>
      <c r="F42" s="6">
        <v>1</v>
      </c>
      <c r="G42" s="12">
        <v>2</v>
      </c>
      <c r="H42" s="8"/>
      <c r="I42" s="8">
        <v>1</v>
      </c>
      <c r="J42" s="8"/>
      <c r="K42" s="8">
        <v>1</v>
      </c>
      <c r="L42" s="12">
        <v>2</v>
      </c>
    </row>
    <row r="43" spans="1:16" x14ac:dyDescent="0.25">
      <c r="A43" s="6">
        <v>158275</v>
      </c>
      <c r="B43" s="6" t="s">
        <v>53</v>
      </c>
      <c r="C43" s="6"/>
      <c r="D43" s="6"/>
      <c r="E43" s="6"/>
      <c r="F43" s="6">
        <v>1</v>
      </c>
      <c r="G43" s="12">
        <v>1</v>
      </c>
      <c r="H43" s="7">
        <v>1</v>
      </c>
      <c r="I43" s="7"/>
      <c r="J43" s="7"/>
      <c r="K43" s="7">
        <v>1</v>
      </c>
      <c r="L43" s="12">
        <v>2</v>
      </c>
    </row>
    <row r="44" spans="1:16" ht="15.75" thickBot="1" x14ac:dyDescent="0.3">
      <c r="A44" s="6">
        <v>159682</v>
      </c>
      <c r="B44" s="6" t="s">
        <v>54</v>
      </c>
      <c r="C44" s="6"/>
      <c r="D44" s="6"/>
      <c r="E44" s="6"/>
      <c r="F44" s="6"/>
      <c r="G44" s="12">
        <v>0</v>
      </c>
      <c r="H44" s="8">
        <v>2</v>
      </c>
      <c r="I44" s="8">
        <v>1</v>
      </c>
      <c r="J44" s="8"/>
      <c r="K44" s="8">
        <v>2</v>
      </c>
      <c r="L44" s="12">
        <v>5</v>
      </c>
    </row>
    <row r="45" spans="1:16" ht="24" thickBot="1" x14ac:dyDescent="0.3">
      <c r="A45" s="6">
        <v>160006</v>
      </c>
      <c r="B45" s="6" t="s">
        <v>55</v>
      </c>
      <c r="C45" s="6"/>
      <c r="D45" s="6">
        <v>1</v>
      </c>
      <c r="E45" s="6"/>
      <c r="F45" s="6">
        <v>1</v>
      </c>
      <c r="G45" s="12">
        <v>2</v>
      </c>
      <c r="H45" s="7">
        <v>1</v>
      </c>
      <c r="I45" s="7"/>
      <c r="J45" s="7"/>
      <c r="K45" s="7"/>
      <c r="L45" s="12">
        <v>1</v>
      </c>
      <c r="N45" s="20" t="s">
        <v>70</v>
      </c>
      <c r="O45" s="21"/>
      <c r="P45" s="17">
        <v>4</v>
      </c>
    </row>
    <row r="46" spans="1:16" x14ac:dyDescent="0.25">
      <c r="A46" s="6">
        <v>163518</v>
      </c>
      <c r="B46" s="6" t="s">
        <v>56</v>
      </c>
      <c r="C46" s="6"/>
      <c r="D46" s="6"/>
      <c r="E46" s="6"/>
      <c r="F46" s="6"/>
      <c r="G46" s="12">
        <v>0</v>
      </c>
      <c r="H46" s="8">
        <v>2</v>
      </c>
      <c r="I46" s="8">
        <v>1</v>
      </c>
      <c r="J46" s="8">
        <v>1</v>
      </c>
      <c r="K46" s="8">
        <v>1</v>
      </c>
      <c r="L46" s="12">
        <v>5</v>
      </c>
    </row>
    <row r="47" spans="1:16" x14ac:dyDescent="0.25">
      <c r="A47" s="6">
        <v>163730</v>
      </c>
      <c r="B47" s="6" t="s">
        <v>57</v>
      </c>
      <c r="C47" s="6"/>
      <c r="D47" s="6"/>
      <c r="E47" s="6"/>
      <c r="F47" s="6"/>
      <c r="G47" s="12">
        <v>0</v>
      </c>
      <c r="H47" s="7">
        <v>1</v>
      </c>
      <c r="I47" s="7"/>
      <c r="J47" s="7">
        <v>1</v>
      </c>
      <c r="K47" s="7"/>
      <c r="L47" s="12">
        <v>2</v>
      </c>
    </row>
    <row r="48" spans="1:16" x14ac:dyDescent="0.25">
      <c r="A48" s="6">
        <v>164839</v>
      </c>
      <c r="B48" s="6" t="s">
        <v>58</v>
      </c>
      <c r="C48" s="6"/>
      <c r="D48" s="6"/>
      <c r="E48" s="6"/>
      <c r="F48" s="6"/>
      <c r="G48" s="12">
        <v>0</v>
      </c>
      <c r="H48" s="8"/>
      <c r="I48" s="8">
        <v>2</v>
      </c>
      <c r="J48" s="8">
        <v>1</v>
      </c>
      <c r="K48" s="8">
        <v>2</v>
      </c>
      <c r="L48" s="12">
        <v>5</v>
      </c>
    </row>
    <row r="49" spans="1:19" ht="15.75" x14ac:dyDescent="0.25">
      <c r="A49" s="6">
        <v>165676</v>
      </c>
      <c r="B49" s="6" t="s">
        <v>59</v>
      </c>
      <c r="C49" s="6"/>
      <c r="D49" s="6"/>
      <c r="E49" s="6"/>
      <c r="F49" s="6"/>
      <c r="G49" s="12">
        <v>0</v>
      </c>
      <c r="H49" s="7">
        <v>1</v>
      </c>
      <c r="I49" s="7"/>
      <c r="J49" s="7"/>
      <c r="K49" s="7">
        <v>1</v>
      </c>
      <c r="L49" s="12">
        <v>2</v>
      </c>
      <c r="N49" s="13"/>
      <c r="O49" s="14" t="s">
        <v>68</v>
      </c>
    </row>
    <row r="50" spans="1:19" ht="15.75" x14ac:dyDescent="0.25">
      <c r="A50" s="6">
        <v>165864</v>
      </c>
      <c r="B50" s="6" t="s">
        <v>60</v>
      </c>
      <c r="C50" s="6"/>
      <c r="D50" s="6"/>
      <c r="E50" s="6"/>
      <c r="F50" s="6"/>
      <c r="G50" s="12">
        <v>0</v>
      </c>
      <c r="H50" s="8">
        <v>1</v>
      </c>
      <c r="I50" s="8">
        <v>1</v>
      </c>
      <c r="J50" s="8"/>
      <c r="K50" s="8"/>
      <c r="L50" s="12">
        <v>2</v>
      </c>
      <c r="N50" s="16"/>
      <c r="O50" s="14" t="s">
        <v>69</v>
      </c>
    </row>
    <row r="51" spans="1:19" x14ac:dyDescent="0.25">
      <c r="A51" s="6">
        <v>166838</v>
      </c>
      <c r="B51" s="6" t="s">
        <v>61</v>
      </c>
      <c r="C51" s="6"/>
      <c r="D51" s="6"/>
      <c r="E51" s="6"/>
      <c r="F51" s="6"/>
      <c r="G51" s="12">
        <v>0</v>
      </c>
      <c r="H51" s="7">
        <v>1</v>
      </c>
      <c r="I51" s="7">
        <v>1</v>
      </c>
      <c r="J51" s="7"/>
      <c r="K51" s="7"/>
      <c r="L51" s="12">
        <v>2</v>
      </c>
    </row>
    <row r="52" spans="1:19" x14ac:dyDescent="0.25">
      <c r="A52" s="6">
        <v>166865</v>
      </c>
      <c r="B52" s="6" t="s">
        <v>62</v>
      </c>
      <c r="C52" s="6"/>
      <c r="D52" s="6"/>
      <c r="E52" s="6"/>
      <c r="F52" s="6"/>
      <c r="G52" s="12">
        <v>0</v>
      </c>
      <c r="H52" s="8">
        <v>1</v>
      </c>
      <c r="I52" s="8">
        <v>1</v>
      </c>
      <c r="J52" s="8">
        <v>1</v>
      </c>
      <c r="K52" s="8">
        <v>1</v>
      </c>
      <c r="L52" s="12">
        <v>4</v>
      </c>
    </row>
    <row r="53" spans="1:19" x14ac:dyDescent="0.25">
      <c r="A53" s="6">
        <v>167422</v>
      </c>
      <c r="B53" s="6" t="s">
        <v>63</v>
      </c>
      <c r="C53" s="6"/>
      <c r="D53" s="6"/>
      <c r="E53" s="6"/>
      <c r="F53" s="6"/>
      <c r="G53" s="12">
        <v>0</v>
      </c>
      <c r="H53" s="7">
        <v>1</v>
      </c>
      <c r="I53" s="7">
        <v>1</v>
      </c>
      <c r="J53" s="7"/>
      <c r="K53" s="7">
        <v>1</v>
      </c>
      <c r="L53" s="12">
        <v>3</v>
      </c>
    </row>
    <row r="54" spans="1:19" x14ac:dyDescent="0.25">
      <c r="A54" s="6">
        <v>167677</v>
      </c>
      <c r="B54" s="6" t="s">
        <v>64</v>
      </c>
      <c r="C54" s="6"/>
      <c r="D54" s="6"/>
      <c r="E54" s="6"/>
      <c r="F54" s="6"/>
      <c r="G54" s="12">
        <v>0</v>
      </c>
      <c r="H54" s="8">
        <v>1</v>
      </c>
      <c r="I54" s="8">
        <v>1</v>
      </c>
      <c r="J54" s="8">
        <v>1</v>
      </c>
      <c r="K54" s="8">
        <v>1</v>
      </c>
      <c r="L54" s="12">
        <v>4</v>
      </c>
    </row>
    <row r="55" spans="1:19" x14ac:dyDescent="0.25">
      <c r="A55" s="6">
        <v>170309</v>
      </c>
      <c r="B55" s="6" t="s">
        <v>65</v>
      </c>
      <c r="C55" s="6"/>
      <c r="D55" s="6"/>
      <c r="E55" s="6"/>
      <c r="F55" s="6"/>
      <c r="G55" s="12">
        <v>0</v>
      </c>
      <c r="H55" s="7">
        <v>1</v>
      </c>
      <c r="I55" s="7"/>
      <c r="J55" s="7"/>
      <c r="K55" s="7">
        <v>1</v>
      </c>
      <c r="L55" s="12">
        <v>2</v>
      </c>
    </row>
    <row r="56" spans="1:19" ht="15.75" x14ac:dyDescent="0.25">
      <c r="A56" s="22" t="s">
        <v>66</v>
      </c>
      <c r="B56" s="22"/>
      <c r="C56" s="15">
        <v>7</v>
      </c>
      <c r="D56" s="15">
        <v>7</v>
      </c>
      <c r="E56" s="15">
        <v>6</v>
      </c>
      <c r="F56" s="15">
        <v>7</v>
      </c>
      <c r="G56" s="18">
        <v>27</v>
      </c>
      <c r="H56" s="15">
        <v>45</v>
      </c>
      <c r="I56" s="15">
        <v>40</v>
      </c>
      <c r="J56" s="15">
        <v>35</v>
      </c>
      <c r="K56" s="15">
        <v>40</v>
      </c>
      <c r="L56" s="18">
        <v>153</v>
      </c>
    </row>
    <row r="57" spans="1:19" ht="15.75" x14ac:dyDescent="0.25">
      <c r="A57" s="23" t="s">
        <v>67</v>
      </c>
      <c r="B57" s="23"/>
      <c r="C57" s="16">
        <f>SUM(Table2[Sillas Amarillas])</f>
        <v>7</v>
      </c>
      <c r="D57" s="16">
        <f>SUM(Table2[Toldo Rojo])</f>
        <v>7</v>
      </c>
      <c r="E57" s="16">
        <f>SUM(Table2[Tia Choli])</f>
        <v>6</v>
      </c>
      <c r="F57" s="16">
        <f>SUM(Table2[Buen Cafe])</f>
        <v>7</v>
      </c>
      <c r="G57" s="19"/>
      <c r="H57" s="16">
        <f>SUM(Table2[Sillas Amarillas2])</f>
        <v>45</v>
      </c>
      <c r="I57" s="16">
        <f>SUM(Table2[Toldo Rojo3])</f>
        <v>38</v>
      </c>
      <c r="J57" s="16">
        <f>SUM(Table2[Tia Choli4])</f>
        <v>34</v>
      </c>
      <c r="K57" s="16">
        <f>SUM(Table2[Buen Cafe5])</f>
        <v>37</v>
      </c>
      <c r="L57" s="19"/>
    </row>
    <row r="60" spans="1:19" x14ac:dyDescent="0.25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</row>
    <row r="61" spans="1:19" x14ac:dyDescent="0.25"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</row>
    <row r="62" spans="1:19" x14ac:dyDescent="0.25"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</row>
    <row r="63" spans="1:19" x14ac:dyDescent="0.25">
      <c r="B63" s="10"/>
      <c r="C63" s="10"/>
      <c r="D63" s="10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</row>
    <row r="64" spans="1:19" x14ac:dyDescent="0.25">
      <c r="B64" s="11"/>
      <c r="C64" s="11"/>
      <c r="D64" s="11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</row>
    <row r="65" spans="2:16" x14ac:dyDescent="0.25">
      <c r="B65" s="11"/>
      <c r="C65" s="11"/>
      <c r="D65" s="11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</row>
    <row r="66" spans="2:16" x14ac:dyDescent="0.25">
      <c r="B66" s="11"/>
      <c r="C66" s="11"/>
      <c r="D66" s="11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spans="2:16" x14ac:dyDescent="0.25">
      <c r="B67" s="11"/>
      <c r="C67" s="11"/>
      <c r="D67" s="11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</row>
    <row r="68" spans="2:16" x14ac:dyDescent="0.25">
      <c r="B68" s="11"/>
      <c r="C68" s="11"/>
      <c r="D68" s="11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</row>
    <row r="69" spans="2:16" x14ac:dyDescent="0.25">
      <c r="B69" s="11"/>
      <c r="C69" s="11"/>
      <c r="D69" s="11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</row>
    <row r="70" spans="2:16" x14ac:dyDescent="0.25">
      <c r="B70" s="11"/>
      <c r="C70" s="11"/>
      <c r="D70" s="11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</row>
    <row r="71" spans="2:16" x14ac:dyDescent="0.25">
      <c r="B71" s="11"/>
      <c r="C71" s="11"/>
      <c r="D71" s="11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</row>
    <row r="72" spans="2:16" x14ac:dyDescent="0.25">
      <c r="B72" s="11"/>
      <c r="C72" s="11"/>
      <c r="D72" s="11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</row>
    <row r="73" spans="2:16" x14ac:dyDescent="0.25">
      <c r="B73" s="11"/>
      <c r="C73" s="11"/>
      <c r="D73" s="11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spans="2:16" x14ac:dyDescent="0.25">
      <c r="B74" s="11"/>
      <c r="C74" s="11"/>
      <c r="D74" s="11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</row>
    <row r="75" spans="2:16" x14ac:dyDescent="0.25">
      <c r="B75" s="11"/>
      <c r="C75" s="11"/>
      <c r="D75" s="11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</row>
    <row r="76" spans="2:16" x14ac:dyDescent="0.25">
      <c r="B76" s="11"/>
      <c r="C76" s="11"/>
      <c r="D76" s="11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</row>
    <row r="77" spans="2:16" x14ac:dyDescent="0.25">
      <c r="B77" s="11"/>
      <c r="C77" s="11"/>
      <c r="D77" s="11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</row>
    <row r="78" spans="2:16" x14ac:dyDescent="0.25">
      <c r="B78" s="11"/>
      <c r="C78" s="11"/>
      <c r="D78" s="11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</row>
    <row r="79" spans="2:16" x14ac:dyDescent="0.25">
      <c r="B79" s="11"/>
      <c r="C79" s="11"/>
      <c r="D79" s="11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</row>
    <row r="80" spans="2:16" x14ac:dyDescent="0.25">
      <c r="B80" s="11"/>
      <c r="C80" s="11"/>
      <c r="D80" s="11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</row>
    <row r="81" spans="2:19" x14ac:dyDescent="0.25">
      <c r="B81" s="11"/>
      <c r="C81" s="11"/>
      <c r="D81" s="11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</row>
    <row r="82" spans="2:19" x14ac:dyDescent="0.25">
      <c r="B82" s="11"/>
      <c r="C82" s="11"/>
      <c r="D82" s="11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spans="2:19" x14ac:dyDescent="0.25">
      <c r="B83" s="11"/>
      <c r="C83" s="11"/>
      <c r="D83" s="11"/>
      <c r="E83" s="11"/>
      <c r="F83" s="11"/>
      <c r="G83" s="1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</row>
    <row r="84" spans="2:19" x14ac:dyDescent="0.25">
      <c r="B84" s="11"/>
      <c r="C84" s="11"/>
      <c r="D84" s="11"/>
      <c r="E84" s="11"/>
      <c r="F84" s="11"/>
      <c r="G84" s="1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</row>
    <row r="85" spans="2:19" x14ac:dyDescent="0.25">
      <c r="B85" s="11"/>
      <c r="C85" s="11"/>
      <c r="D85" s="11"/>
      <c r="E85" s="11"/>
      <c r="F85" s="11"/>
      <c r="G85" s="1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</row>
    <row r="86" spans="2:19" x14ac:dyDescent="0.25">
      <c r="B86" s="11"/>
      <c r="C86" s="11"/>
      <c r="D86" s="11"/>
      <c r="E86" s="11"/>
      <c r="F86" s="11"/>
      <c r="G86" s="1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</row>
    <row r="87" spans="2:19" x14ac:dyDescent="0.25">
      <c r="B87" s="11"/>
      <c r="C87" s="11"/>
      <c r="D87" s="11"/>
      <c r="E87" s="11"/>
      <c r="F87" s="11"/>
      <c r="G87" s="1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</row>
    <row r="88" spans="2:19" x14ac:dyDescent="0.25">
      <c r="B88" s="11"/>
      <c r="C88" s="11"/>
      <c r="D88" s="11"/>
      <c r="E88" s="11"/>
      <c r="F88" s="11"/>
      <c r="G88" s="1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</row>
    <row r="89" spans="2:19" x14ac:dyDescent="0.25">
      <c r="B89" s="11"/>
      <c r="C89" s="11"/>
      <c r="D89" s="11"/>
      <c r="E89" s="11"/>
      <c r="F89" s="11"/>
      <c r="G89" s="1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</row>
    <row r="90" spans="2:19" x14ac:dyDescent="0.25">
      <c r="B90" s="11"/>
      <c r="C90" s="11"/>
      <c r="D90" s="11"/>
      <c r="E90" s="11"/>
      <c r="F90" s="11"/>
      <c r="G90" s="1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</row>
    <row r="91" spans="2:19" x14ac:dyDescent="0.25">
      <c r="B91" s="11"/>
      <c r="C91" s="11"/>
      <c r="D91" s="11"/>
      <c r="E91" s="11"/>
      <c r="F91" s="11"/>
      <c r="G91" s="1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</row>
    <row r="92" spans="2:19" x14ac:dyDescent="0.25">
      <c r="B92" s="11"/>
      <c r="C92" s="11"/>
      <c r="D92" s="11"/>
      <c r="E92" s="11"/>
      <c r="F92" s="11"/>
      <c r="G92" s="1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</row>
    <row r="93" spans="2:19" x14ac:dyDescent="0.25">
      <c r="B93" s="11"/>
      <c r="C93" s="11"/>
      <c r="D93" s="11"/>
      <c r="E93" s="11"/>
      <c r="F93" s="11"/>
      <c r="G93" s="1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</row>
    <row r="94" spans="2:19" x14ac:dyDescent="0.25">
      <c r="B94" s="11"/>
      <c r="C94" s="11"/>
      <c r="D94" s="11"/>
      <c r="E94" s="11"/>
      <c r="F94" s="11"/>
      <c r="G94" s="1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</row>
    <row r="95" spans="2:19" x14ac:dyDescent="0.25">
      <c r="B95" s="11"/>
      <c r="C95" s="11"/>
      <c r="D95" s="11"/>
      <c r="E95" s="11"/>
      <c r="F95" s="11"/>
      <c r="G95" s="1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</row>
    <row r="96" spans="2:19" x14ac:dyDescent="0.25">
      <c r="B96" s="11"/>
      <c r="C96" s="11"/>
      <c r="D96" s="11"/>
      <c r="E96" s="11"/>
      <c r="F96" s="11"/>
      <c r="G96" s="1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</row>
    <row r="97" spans="2:19" x14ac:dyDescent="0.25">
      <c r="B97" s="11"/>
      <c r="C97" s="11"/>
      <c r="D97" s="11"/>
      <c r="E97" s="11"/>
      <c r="F97" s="11"/>
      <c r="G97" s="1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</row>
    <row r="98" spans="2:19" x14ac:dyDescent="0.25">
      <c r="B98" s="11"/>
      <c r="C98" s="11"/>
      <c r="D98" s="11"/>
      <c r="E98" s="11"/>
      <c r="F98" s="11"/>
      <c r="G98" s="11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</row>
    <row r="99" spans="2:19" x14ac:dyDescent="0.25">
      <c r="B99" s="11"/>
      <c r="C99" s="11"/>
      <c r="D99" s="11"/>
      <c r="E99" s="11"/>
      <c r="F99" s="11"/>
      <c r="G99" s="1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</row>
    <row r="100" spans="2:19" x14ac:dyDescent="0.25">
      <c r="B100" s="11"/>
      <c r="C100" s="11"/>
      <c r="D100" s="11"/>
      <c r="E100" s="11"/>
      <c r="F100" s="11"/>
      <c r="G100" s="11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</row>
    <row r="101" spans="2:19" x14ac:dyDescent="0.25">
      <c r="B101" s="11"/>
      <c r="C101" s="11"/>
      <c r="D101" s="11"/>
      <c r="E101" s="11"/>
      <c r="F101" s="11"/>
      <c r="G101" s="1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</row>
    <row r="102" spans="2:19" x14ac:dyDescent="0.25">
      <c r="B102" s="11"/>
      <c r="C102" s="11"/>
      <c r="D102" s="11"/>
      <c r="E102" s="11"/>
      <c r="F102" s="11"/>
      <c r="G102" s="1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</row>
    <row r="103" spans="2:19" x14ac:dyDescent="0.25">
      <c r="B103" s="11"/>
      <c r="C103" s="11"/>
      <c r="D103" s="11"/>
      <c r="E103" s="11"/>
      <c r="F103" s="11"/>
      <c r="G103" s="1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</row>
    <row r="104" spans="2:19" x14ac:dyDescent="0.25">
      <c r="B104" s="11"/>
      <c r="C104" s="11"/>
      <c r="D104" s="11"/>
      <c r="E104" s="11"/>
      <c r="F104" s="11"/>
      <c r="G104" s="1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</row>
    <row r="105" spans="2:19" x14ac:dyDescent="0.25">
      <c r="B105" s="11"/>
      <c r="C105" s="11"/>
      <c r="D105" s="11"/>
      <c r="E105" s="11"/>
      <c r="F105" s="11"/>
      <c r="G105" s="1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</row>
    <row r="106" spans="2:19" x14ac:dyDescent="0.25">
      <c r="B106" s="11"/>
      <c r="C106" s="11"/>
      <c r="D106" s="11"/>
      <c r="E106" s="11"/>
      <c r="F106" s="11"/>
      <c r="G106" s="1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</row>
    <row r="107" spans="2:19" x14ac:dyDescent="0.25">
      <c r="B107" s="11"/>
      <c r="C107" s="11"/>
      <c r="D107" s="11"/>
      <c r="E107" s="11"/>
      <c r="F107" s="11"/>
      <c r="G107" s="11"/>
    </row>
    <row r="108" spans="2:19" x14ac:dyDescent="0.25">
      <c r="B108" s="11"/>
      <c r="C108" s="11"/>
      <c r="D108" s="11"/>
      <c r="E108" s="11"/>
      <c r="F108" s="11"/>
      <c r="G108" s="11"/>
    </row>
    <row r="109" spans="2:19" x14ac:dyDescent="0.25">
      <c r="B109" s="11"/>
      <c r="C109" s="11"/>
      <c r="D109" s="11"/>
      <c r="E109" s="11"/>
      <c r="F109" s="11"/>
      <c r="G109" s="11"/>
    </row>
    <row r="110" spans="2:19" x14ac:dyDescent="0.25">
      <c r="B110" s="11"/>
      <c r="C110" s="11"/>
      <c r="D110" s="11"/>
      <c r="E110" s="11"/>
      <c r="F110" s="11"/>
      <c r="G110" s="11"/>
    </row>
    <row r="111" spans="2:19" x14ac:dyDescent="0.25">
      <c r="B111" s="11"/>
      <c r="C111" s="11"/>
      <c r="D111" s="11"/>
      <c r="E111" s="11"/>
      <c r="F111" s="11"/>
      <c r="G111" s="11"/>
    </row>
    <row r="112" spans="2:19" x14ac:dyDescent="0.25">
      <c r="B112" s="11"/>
      <c r="C112" s="11"/>
      <c r="D112" s="11"/>
      <c r="E112" s="11"/>
      <c r="F112" s="11"/>
      <c r="G112" s="11"/>
    </row>
    <row r="113" spans="2:7" x14ac:dyDescent="0.25">
      <c r="B113" s="11"/>
      <c r="C113" s="11"/>
      <c r="D113" s="11"/>
      <c r="E113" s="11"/>
      <c r="F113" s="11"/>
      <c r="G113" s="11"/>
    </row>
    <row r="114" spans="2:7" x14ac:dyDescent="0.25">
      <c r="B114" s="11"/>
      <c r="C114" s="11"/>
      <c r="D114" s="11"/>
      <c r="E114" s="11"/>
      <c r="F114" s="11"/>
      <c r="G114" s="11"/>
    </row>
    <row r="115" spans="2:7" x14ac:dyDescent="0.25">
      <c r="B115" s="11"/>
      <c r="C115" s="11"/>
      <c r="D115" s="11"/>
      <c r="E115" s="11"/>
      <c r="F115" s="11"/>
      <c r="G115" s="11"/>
    </row>
    <row r="116" spans="2:7" x14ac:dyDescent="0.25">
      <c r="B116" s="11"/>
      <c r="C116" s="11"/>
      <c r="D116" s="11"/>
      <c r="E116" s="11"/>
      <c r="F116" s="11"/>
      <c r="G116" s="11"/>
    </row>
    <row r="117" spans="2:7" x14ac:dyDescent="0.25">
      <c r="B117" s="11"/>
      <c r="C117" s="11"/>
      <c r="D117" s="11"/>
      <c r="E117" s="11"/>
      <c r="F117" s="11"/>
      <c r="G117" s="11"/>
    </row>
    <row r="118" spans="2:7" x14ac:dyDescent="0.25">
      <c r="B118" s="11"/>
      <c r="C118" s="11"/>
      <c r="D118" s="11"/>
      <c r="E118" s="11"/>
      <c r="F118" s="11"/>
      <c r="G118" s="11"/>
    </row>
    <row r="119" spans="2:7" x14ac:dyDescent="0.25">
      <c r="B119" s="11"/>
      <c r="C119" s="11"/>
      <c r="D119" s="11"/>
      <c r="E119" s="11"/>
      <c r="F119" s="11"/>
      <c r="G119" s="11"/>
    </row>
    <row r="120" spans="2:7" x14ac:dyDescent="0.25">
      <c r="B120" s="11"/>
      <c r="C120" s="11"/>
      <c r="D120" s="11"/>
      <c r="E120" s="11"/>
      <c r="F120" s="11"/>
      <c r="G120" s="11"/>
    </row>
    <row r="121" spans="2:7" x14ac:dyDescent="0.25">
      <c r="B121" s="11"/>
      <c r="C121" s="11"/>
      <c r="D121" s="11"/>
      <c r="E121" s="11"/>
      <c r="F121" s="11"/>
      <c r="G121" s="11"/>
    </row>
    <row r="122" spans="2:7" x14ac:dyDescent="0.25">
      <c r="B122" s="11"/>
      <c r="C122" s="11"/>
      <c r="D122" s="11"/>
      <c r="E122" s="11"/>
      <c r="F122" s="11"/>
      <c r="G122" s="11"/>
    </row>
    <row r="123" spans="2:7" x14ac:dyDescent="0.25">
      <c r="B123" s="11"/>
      <c r="C123" s="11"/>
      <c r="D123" s="11"/>
      <c r="E123" s="11"/>
      <c r="F123" s="11"/>
      <c r="G123" s="11"/>
    </row>
    <row r="124" spans="2:7" x14ac:dyDescent="0.25">
      <c r="B124" s="11"/>
      <c r="C124" s="11"/>
      <c r="D124" s="11"/>
      <c r="E124" s="11"/>
      <c r="F124" s="11"/>
      <c r="G124" s="11"/>
    </row>
    <row r="125" spans="2:7" x14ac:dyDescent="0.25">
      <c r="B125" s="11"/>
      <c r="C125" s="11"/>
      <c r="D125" s="11"/>
      <c r="E125" s="11"/>
      <c r="F125" s="11"/>
      <c r="G125" s="11"/>
    </row>
    <row r="126" spans="2:7" x14ac:dyDescent="0.25">
      <c r="B126" s="11"/>
      <c r="C126" s="11"/>
      <c r="D126" s="11"/>
      <c r="E126" s="11"/>
      <c r="F126" s="11"/>
      <c r="G126" s="11"/>
    </row>
    <row r="127" spans="2:7" x14ac:dyDescent="0.25">
      <c r="B127" s="11"/>
      <c r="C127" s="11"/>
      <c r="D127" s="11"/>
      <c r="E127" s="11"/>
      <c r="F127" s="11"/>
      <c r="G127" s="11"/>
    </row>
    <row r="128" spans="2:7" x14ac:dyDescent="0.25">
      <c r="B128" s="11"/>
      <c r="C128" s="11"/>
      <c r="D128" s="11"/>
      <c r="E128" s="11"/>
      <c r="F128" s="11"/>
      <c r="G128" s="11"/>
    </row>
    <row r="129" spans="2:7" x14ac:dyDescent="0.25">
      <c r="B129" s="11"/>
      <c r="C129" s="11"/>
      <c r="D129" s="11"/>
      <c r="E129" s="11"/>
      <c r="F129" s="11"/>
      <c r="G129" s="11"/>
    </row>
    <row r="130" spans="2:7" x14ac:dyDescent="0.25">
      <c r="B130" s="11"/>
      <c r="C130" s="11"/>
      <c r="D130" s="11"/>
      <c r="E130" s="11"/>
      <c r="F130" s="11"/>
      <c r="G130" s="11"/>
    </row>
    <row r="131" spans="2:7" x14ac:dyDescent="0.25">
      <c r="B131" s="11"/>
      <c r="C131" s="11"/>
      <c r="D131" s="11"/>
      <c r="E131" s="11"/>
      <c r="F131" s="11"/>
      <c r="G131" s="11"/>
    </row>
    <row r="132" spans="2:7" x14ac:dyDescent="0.25">
      <c r="B132" s="11"/>
      <c r="C132" s="11"/>
      <c r="D132" s="11"/>
      <c r="E132" s="11"/>
      <c r="F132" s="11"/>
      <c r="G132" s="11"/>
    </row>
    <row r="133" spans="2:7" x14ac:dyDescent="0.25">
      <c r="B133" s="11"/>
      <c r="C133" s="11"/>
      <c r="D133" s="11"/>
      <c r="E133" s="11"/>
      <c r="F133" s="11"/>
      <c r="G133" s="11"/>
    </row>
    <row r="134" spans="2:7" x14ac:dyDescent="0.25">
      <c r="B134" s="11"/>
      <c r="C134" s="11"/>
      <c r="D134" s="11"/>
      <c r="E134" s="11"/>
      <c r="F134" s="11"/>
      <c r="G134" s="11"/>
    </row>
    <row r="135" spans="2:7" x14ac:dyDescent="0.25">
      <c r="B135" s="11"/>
      <c r="C135" s="11"/>
      <c r="D135" s="11"/>
      <c r="E135" s="11"/>
      <c r="F135" s="11"/>
      <c r="G135" s="11"/>
    </row>
    <row r="136" spans="2:7" x14ac:dyDescent="0.25">
      <c r="B136" s="11"/>
      <c r="C136" s="11"/>
      <c r="D136" s="11"/>
      <c r="E136" s="11"/>
      <c r="F136" s="11"/>
      <c r="G136" s="11"/>
    </row>
    <row r="137" spans="2:7" x14ac:dyDescent="0.25">
      <c r="B137" s="11"/>
      <c r="C137" s="11"/>
      <c r="D137" s="11"/>
      <c r="E137" s="11"/>
      <c r="F137" s="11"/>
      <c r="G137" s="11"/>
    </row>
    <row r="138" spans="2:7" x14ac:dyDescent="0.25">
      <c r="B138" s="11"/>
      <c r="C138" s="11"/>
      <c r="D138" s="11"/>
      <c r="E138" s="11"/>
      <c r="F138" s="11"/>
      <c r="G138" s="11"/>
    </row>
    <row r="139" spans="2:7" x14ac:dyDescent="0.25">
      <c r="B139" s="11"/>
      <c r="C139" s="11"/>
      <c r="D139" s="11"/>
      <c r="E139" s="11"/>
      <c r="F139" s="11"/>
      <c r="G139" s="11"/>
    </row>
    <row r="140" spans="2:7" x14ac:dyDescent="0.25">
      <c r="B140" s="11"/>
      <c r="C140" s="11"/>
      <c r="D140" s="11"/>
      <c r="E140" s="11"/>
      <c r="F140" s="11"/>
      <c r="G140" s="11"/>
    </row>
  </sheetData>
  <mergeCells count="5">
    <mergeCell ref="G56:G57"/>
    <mergeCell ref="L56:L57"/>
    <mergeCell ref="N45:O45"/>
    <mergeCell ref="A56:B56"/>
    <mergeCell ref="A57:B5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12</xdr:col>
                <xdr:colOff>485775</xdr:colOff>
                <xdr:row>24</xdr:row>
                <xdr:rowOff>142875</xdr:rowOff>
              </from>
              <to>
                <xdr:col>19</xdr:col>
                <xdr:colOff>257175</xdr:colOff>
                <xdr:row>41</xdr:row>
                <xdr:rowOff>66675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12</xdr:col>
                <xdr:colOff>476250</xdr:colOff>
                <xdr:row>4</xdr:row>
                <xdr:rowOff>161925</xdr:rowOff>
              </from>
              <to>
                <xdr:col>19</xdr:col>
                <xdr:colOff>257175</xdr:colOff>
                <xdr:row>21</xdr:row>
                <xdr:rowOff>47625</xdr:rowOff>
              </to>
            </anchor>
          </controlPr>
        </control>
      </mc:Choice>
      <mc:Fallback>
        <control shapeId="1025" r:id="rId5" name="CommandButton1"/>
      </mc:Fallback>
    </mc:AlternateContent>
  </controls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Semana 3</vt:lpstr>
      <vt:lpstr>Sorteo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Lanzagorta</dc:creator>
  <cp:lastModifiedBy>hca</cp:lastModifiedBy>
  <dcterms:created xsi:type="dcterms:W3CDTF">2017-03-06T06:05:18Z</dcterms:created>
  <dcterms:modified xsi:type="dcterms:W3CDTF">2017-03-13T23:44:55Z</dcterms:modified>
</cp:coreProperties>
</file>